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00\02-Route - Data Analysis\01-Ahmed Ghanem\02-Excel\04-Assignments\Assignment 3 (Dashboards)\"/>
    </mc:Choice>
  </mc:AlternateContent>
  <xr:revisionPtr revIDLastSave="0" documentId="13_ncr:1_{8EFC9BBA-EC68-46F9-B83B-7108D211BB50}" xr6:coauthVersionLast="47" xr6:coauthVersionMax="47" xr10:uidLastSave="{00000000-0000-0000-0000-000000000000}"/>
  <bookViews>
    <workbookView xWindow="-120" yWindow="-120" windowWidth="29040" windowHeight="17640" activeTab="2" xr2:uid="{26D4546B-D2A1-4444-8EAF-A6228F96F0C1}"/>
  </bookViews>
  <sheets>
    <sheet name="Data" sheetId="2" r:id="rId1"/>
    <sheet name="pivot Table" sheetId="3" r:id="rId2"/>
    <sheet name="Dashboard" sheetId="4" r:id="rId3"/>
  </sheets>
  <definedNames>
    <definedName name="_xlnm._FilterDatabase" localSheetId="0" hidden="1">Data!$B$3:$K$1003</definedName>
    <definedName name="_xlcn.WorksheetConnection_07.sampledataexcelportfolioproject.xlsxcustomers1" hidden="1">customers[]</definedName>
    <definedName name="Slicer_City">#N/A</definedName>
    <definedName name="Slicer_Representative">#N/A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2" l="1"/>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N4" i="2" a="1"/>
  <c r="N4" i="2" s="1"/>
  <c r="N5" i="2" a="1"/>
  <c r="N5" i="2" s="1"/>
  <c r="N6" i="2" a="1"/>
  <c r="N6" i="2" s="1"/>
  <c r="N7" i="2" a="1"/>
  <c r="N7" i="2" s="1"/>
  <c r="N8" i="2" a="1"/>
  <c r="N8" i="2" s="1"/>
  <c r="N9" i="2" a="1"/>
  <c r="N9" i="2" s="1"/>
  <c r="N10" i="2" a="1"/>
  <c r="N10" i="2" s="1"/>
  <c r="N11" i="2" a="1"/>
  <c r="N11" i="2" s="1"/>
  <c r="N12" i="2" a="1"/>
  <c r="N12" i="2" s="1"/>
  <c r="N13" i="2" a="1"/>
  <c r="N13" i="2" s="1"/>
  <c r="N14" i="2" a="1"/>
  <c r="N14" i="2" s="1"/>
  <c r="N15" i="2" a="1"/>
  <c r="N15" i="2" s="1"/>
  <c r="N16" i="2" a="1"/>
  <c r="N16" i="2" s="1"/>
  <c r="N17" i="2" a="1"/>
  <c r="N17" i="2" s="1"/>
  <c r="N18" i="2" a="1"/>
  <c r="N18" i="2" s="1"/>
  <c r="N19" i="2" a="1"/>
  <c r="N19" i="2" s="1"/>
  <c r="N20" i="2" a="1"/>
  <c r="N20" i="2" s="1"/>
  <c r="N21" i="2" a="1"/>
  <c r="N21" i="2" s="1"/>
  <c r="N22" i="2" a="1"/>
  <c r="N22" i="2" s="1"/>
  <c r="N23" i="2" a="1"/>
  <c r="N23" i="2" s="1"/>
  <c r="N24" i="2" a="1"/>
  <c r="N24" i="2" s="1"/>
  <c r="N25" i="2" a="1"/>
  <c r="N25" i="2" s="1"/>
  <c r="N26" i="2" a="1"/>
  <c r="N26" i="2" s="1"/>
  <c r="N27" i="2" a="1"/>
  <c r="N27" i="2" s="1"/>
  <c r="N28" i="2" a="1"/>
  <c r="N28" i="2" s="1"/>
  <c r="N29" i="2" a="1"/>
  <c r="N29" i="2" s="1"/>
  <c r="N30" i="2" a="1"/>
  <c r="N30" i="2" s="1"/>
  <c r="N31" i="2" a="1"/>
  <c r="N31" i="2" s="1"/>
  <c r="N32" i="2" a="1"/>
  <c r="N32" i="2" s="1"/>
  <c r="N33" i="2" a="1"/>
  <c r="N33" i="2" s="1"/>
  <c r="N34" i="2" a="1"/>
  <c r="N34" i="2" s="1"/>
  <c r="N35" i="2" a="1"/>
  <c r="N35" i="2" s="1"/>
  <c r="N36" i="2" a="1"/>
  <c r="N36" i="2" s="1"/>
  <c r="N37" i="2" a="1"/>
  <c r="N37" i="2" s="1"/>
  <c r="N38" i="2" a="1"/>
  <c r="N38" i="2" s="1"/>
  <c r="N39" i="2" a="1"/>
  <c r="N39" i="2" s="1"/>
  <c r="N40" i="2" a="1"/>
  <c r="N40" i="2" s="1"/>
  <c r="N41" i="2" a="1"/>
  <c r="N41" i="2" s="1"/>
  <c r="N42" i="2" a="1"/>
  <c r="N42" i="2" s="1"/>
  <c r="N43" i="2" a="1"/>
  <c r="N43" i="2" s="1"/>
  <c r="N44" i="2" a="1"/>
  <c r="N44" i="2" s="1"/>
  <c r="N45" i="2" a="1"/>
  <c r="N45" i="2" s="1"/>
  <c r="N46" i="2" a="1"/>
  <c r="N46" i="2" s="1"/>
  <c r="N47" i="2" a="1"/>
  <c r="N47" i="2" s="1"/>
  <c r="N48" i="2" a="1"/>
  <c r="N48" i="2" s="1"/>
  <c r="N49" i="2" a="1"/>
  <c r="N49" i="2" s="1"/>
  <c r="N50" i="2" a="1"/>
  <c r="N50" i="2" s="1"/>
  <c r="N51" i="2" a="1"/>
  <c r="N51" i="2" s="1"/>
  <c r="N52" i="2" a="1"/>
  <c r="N52" i="2" s="1"/>
  <c r="N53" i="2" a="1"/>
  <c r="N53" i="2" s="1"/>
  <c r="N54" i="2" a="1"/>
  <c r="N54" i="2" s="1"/>
  <c r="N55" i="2" a="1"/>
  <c r="N55" i="2" s="1"/>
  <c r="N56" i="2" a="1"/>
  <c r="N56" i="2" s="1"/>
  <c r="N57" i="2" a="1"/>
  <c r="N57" i="2" s="1"/>
  <c r="N58" i="2" a="1"/>
  <c r="N58" i="2" s="1"/>
  <c r="N59" i="2" a="1"/>
  <c r="N59" i="2" s="1"/>
  <c r="N60" i="2" a="1"/>
  <c r="N60" i="2" s="1"/>
  <c r="N61" i="2" a="1"/>
  <c r="N61" i="2" s="1"/>
  <c r="N62" i="2" a="1"/>
  <c r="N62" i="2" s="1"/>
  <c r="N63" i="2" a="1"/>
  <c r="N63" i="2" s="1"/>
  <c r="N64" i="2" a="1"/>
  <c r="N64" i="2" s="1"/>
  <c r="N65" i="2" a="1"/>
  <c r="N65" i="2" s="1"/>
  <c r="N66" i="2" a="1"/>
  <c r="N66" i="2" s="1"/>
  <c r="N67" i="2" a="1"/>
  <c r="N67" i="2" s="1"/>
  <c r="N68" i="2" a="1"/>
  <c r="N68" i="2" s="1"/>
  <c r="N69" i="2" a="1"/>
  <c r="N69" i="2" s="1"/>
  <c r="N70" i="2" a="1"/>
  <c r="N70" i="2" s="1"/>
  <c r="N71" i="2" a="1"/>
  <c r="N71" i="2" s="1"/>
  <c r="N72" i="2" a="1"/>
  <c r="N72" i="2" s="1"/>
  <c r="N73" i="2" a="1"/>
  <c r="N73" i="2" s="1"/>
  <c r="N74" i="2" a="1"/>
  <c r="N74" i="2" s="1"/>
  <c r="N75" i="2" a="1"/>
  <c r="N75" i="2" s="1"/>
  <c r="N76" i="2" a="1"/>
  <c r="N76" i="2" s="1"/>
  <c r="N77" i="2" a="1"/>
  <c r="N77" i="2" s="1"/>
  <c r="N78" i="2" a="1"/>
  <c r="N78" i="2" s="1"/>
  <c r="N79" i="2" a="1"/>
  <c r="N79" i="2" s="1"/>
  <c r="N80" i="2" a="1"/>
  <c r="N80" i="2" s="1"/>
  <c r="N81" i="2" a="1"/>
  <c r="N81" i="2" s="1"/>
  <c r="N82" i="2" a="1"/>
  <c r="N82" i="2" s="1"/>
  <c r="N83" i="2" a="1"/>
  <c r="N83" i="2" s="1"/>
  <c r="N84" i="2" a="1"/>
  <c r="N84" i="2" s="1"/>
  <c r="N85" i="2" a="1"/>
  <c r="N85" i="2" s="1"/>
  <c r="N86" i="2" a="1"/>
  <c r="N86" i="2" s="1"/>
  <c r="N87" i="2" a="1"/>
  <c r="N87" i="2" s="1"/>
  <c r="N88" i="2" a="1"/>
  <c r="N88" i="2" s="1"/>
  <c r="N89" i="2" a="1"/>
  <c r="N89" i="2" s="1"/>
  <c r="N90" i="2" a="1"/>
  <c r="N90" i="2" s="1"/>
  <c r="N91" i="2" a="1"/>
  <c r="N91" i="2" s="1"/>
  <c r="N92" i="2" a="1"/>
  <c r="N92" i="2" s="1"/>
  <c r="N93" i="2" a="1"/>
  <c r="N93" i="2" s="1"/>
  <c r="N94" i="2" a="1"/>
  <c r="N94" i="2" s="1"/>
  <c r="N95" i="2" a="1"/>
  <c r="N95" i="2" s="1"/>
  <c r="N96" i="2" a="1"/>
  <c r="N96" i="2" s="1"/>
  <c r="N97" i="2" a="1"/>
  <c r="N97" i="2" s="1"/>
  <c r="N98" i="2" a="1"/>
  <c r="N98" i="2" s="1"/>
  <c r="N99" i="2" a="1"/>
  <c r="N99" i="2" s="1"/>
  <c r="N100" i="2" a="1"/>
  <c r="N100" i="2" s="1"/>
  <c r="N101" i="2" a="1"/>
  <c r="N101" i="2" s="1"/>
  <c r="N102" i="2" a="1"/>
  <c r="N102" i="2" s="1"/>
  <c r="N103" i="2" a="1"/>
  <c r="N103" i="2" s="1"/>
  <c r="N104" i="2" a="1"/>
  <c r="N104" i="2" s="1"/>
  <c r="N105" i="2" a="1"/>
  <c r="N105" i="2" s="1"/>
  <c r="N106" i="2" a="1"/>
  <c r="N106" i="2" s="1"/>
  <c r="N107" i="2" a="1"/>
  <c r="N107" i="2" s="1"/>
  <c r="N108" i="2" a="1"/>
  <c r="N108" i="2" s="1"/>
  <c r="N109" i="2" a="1"/>
  <c r="N109" i="2" s="1"/>
  <c r="N110" i="2" a="1"/>
  <c r="N110" i="2" s="1"/>
  <c r="N111" i="2" a="1"/>
  <c r="N111" i="2" s="1"/>
  <c r="N112" i="2" a="1"/>
  <c r="N112" i="2" s="1"/>
  <c r="N113" i="2" a="1"/>
  <c r="N113" i="2" s="1"/>
  <c r="N114" i="2" a="1"/>
  <c r="N114" i="2" s="1"/>
  <c r="N115" i="2" a="1"/>
  <c r="N115" i="2" s="1"/>
  <c r="N116" i="2" a="1"/>
  <c r="N116" i="2" s="1"/>
  <c r="N117" i="2" a="1"/>
  <c r="N117" i="2" s="1"/>
  <c r="N118" i="2" a="1"/>
  <c r="N118" i="2" s="1"/>
  <c r="N119" i="2" a="1"/>
  <c r="N119" i="2" s="1"/>
  <c r="N120" i="2" a="1"/>
  <c r="N120" i="2" s="1"/>
  <c r="N121" i="2" a="1"/>
  <c r="N121" i="2" s="1"/>
  <c r="N122" i="2" a="1"/>
  <c r="N122" i="2" s="1"/>
  <c r="N123" i="2" a="1"/>
  <c r="N123" i="2" s="1"/>
  <c r="N124" i="2" a="1"/>
  <c r="N124" i="2" s="1"/>
  <c r="N125" i="2" a="1"/>
  <c r="N125" i="2" s="1"/>
  <c r="N126" i="2" a="1"/>
  <c r="N126" i="2" s="1"/>
  <c r="N127" i="2" a="1"/>
  <c r="N127" i="2" s="1"/>
  <c r="N128" i="2" a="1"/>
  <c r="N128" i="2" s="1"/>
  <c r="N129" i="2" a="1"/>
  <c r="N129" i="2" s="1"/>
  <c r="N130" i="2" a="1"/>
  <c r="N130" i="2" s="1"/>
  <c r="N131" i="2" a="1"/>
  <c r="N131" i="2" s="1"/>
  <c r="N132" i="2" a="1"/>
  <c r="N132" i="2" s="1"/>
  <c r="N133" i="2" a="1"/>
  <c r="N133" i="2" s="1"/>
  <c r="N134" i="2" a="1"/>
  <c r="N134" i="2" s="1"/>
  <c r="N135" i="2" a="1"/>
  <c r="N135" i="2" s="1"/>
  <c r="N136" i="2" a="1"/>
  <c r="N136" i="2" s="1"/>
  <c r="N137" i="2" a="1"/>
  <c r="N137" i="2" s="1"/>
  <c r="N138" i="2" a="1"/>
  <c r="N138" i="2" s="1"/>
  <c r="N139" i="2" a="1"/>
  <c r="N139" i="2" s="1"/>
  <c r="N140" i="2" a="1"/>
  <c r="N140" i="2" s="1"/>
  <c r="N141" i="2" a="1"/>
  <c r="N141" i="2" s="1"/>
  <c r="N142" i="2" a="1"/>
  <c r="N142" i="2" s="1"/>
  <c r="N143" i="2" a="1"/>
  <c r="N143" i="2" s="1"/>
  <c r="N144" i="2" a="1"/>
  <c r="N144" i="2" s="1"/>
  <c r="N145" i="2" a="1"/>
  <c r="N145" i="2" s="1"/>
  <c r="N146" i="2" a="1"/>
  <c r="N146" i="2" s="1"/>
  <c r="N147" i="2" a="1"/>
  <c r="N147" i="2" s="1"/>
  <c r="N148" i="2" a="1"/>
  <c r="N148" i="2" s="1"/>
  <c r="N149" i="2" a="1"/>
  <c r="N149" i="2" s="1"/>
  <c r="N150" i="2" a="1"/>
  <c r="N150" i="2" s="1"/>
  <c r="N151" i="2" a="1"/>
  <c r="N151" i="2" s="1"/>
  <c r="N152" i="2" a="1"/>
  <c r="N152" i="2" s="1"/>
  <c r="N153" i="2" a="1"/>
  <c r="N153" i="2" s="1"/>
  <c r="N154" i="2" a="1"/>
  <c r="N154" i="2" s="1"/>
  <c r="N155" i="2" a="1"/>
  <c r="N155" i="2" s="1"/>
  <c r="N156" i="2" a="1"/>
  <c r="N156" i="2" s="1"/>
  <c r="N157" i="2" a="1"/>
  <c r="N157" i="2" s="1"/>
  <c r="N158" i="2" a="1"/>
  <c r="N158" i="2" s="1"/>
  <c r="N159" i="2" a="1"/>
  <c r="N159" i="2" s="1"/>
  <c r="N160" i="2" a="1"/>
  <c r="N160" i="2" s="1"/>
  <c r="N161" i="2" a="1"/>
  <c r="N161" i="2" s="1"/>
  <c r="N162" i="2" a="1"/>
  <c r="N162" i="2" s="1"/>
  <c r="N163" i="2" a="1"/>
  <c r="N163" i="2" s="1"/>
  <c r="N164" i="2" a="1"/>
  <c r="N164" i="2" s="1"/>
  <c r="N165" i="2" a="1"/>
  <c r="N165" i="2" s="1"/>
  <c r="N166" i="2" a="1"/>
  <c r="N166" i="2" s="1"/>
  <c r="N167" i="2" a="1"/>
  <c r="N167" i="2" s="1"/>
  <c r="N168" i="2" a="1"/>
  <c r="N168" i="2" s="1"/>
  <c r="N169" i="2" a="1"/>
  <c r="N169" i="2" s="1"/>
  <c r="N170" i="2" a="1"/>
  <c r="N170" i="2" s="1"/>
  <c r="N171" i="2" a="1"/>
  <c r="N171" i="2" s="1"/>
  <c r="N172" i="2" a="1"/>
  <c r="N172" i="2" s="1"/>
  <c r="N173" i="2" a="1"/>
  <c r="N173" i="2" s="1"/>
  <c r="N174" i="2" a="1"/>
  <c r="N174" i="2" s="1"/>
  <c r="N175" i="2" a="1"/>
  <c r="N175" i="2" s="1"/>
  <c r="N176" i="2" a="1"/>
  <c r="N176" i="2" s="1"/>
  <c r="N177" i="2" a="1"/>
  <c r="N177" i="2" s="1"/>
  <c r="N178" i="2" a="1"/>
  <c r="N178" i="2" s="1"/>
  <c r="N179" i="2" a="1"/>
  <c r="N179" i="2" s="1"/>
  <c r="N180" i="2" a="1"/>
  <c r="N180" i="2" s="1"/>
  <c r="N181" i="2" a="1"/>
  <c r="N181" i="2" s="1"/>
  <c r="N182" i="2" a="1"/>
  <c r="N182" i="2" s="1"/>
  <c r="N183" i="2" a="1"/>
  <c r="N183" i="2" s="1"/>
  <c r="N184" i="2" a="1"/>
  <c r="N184" i="2" s="1"/>
  <c r="N185" i="2" a="1"/>
  <c r="N185" i="2" s="1"/>
  <c r="N186" i="2" a="1"/>
  <c r="N186" i="2" s="1"/>
  <c r="N187" i="2" a="1"/>
  <c r="N187" i="2" s="1"/>
  <c r="N188" i="2" a="1"/>
  <c r="N188" i="2" s="1"/>
  <c r="N189" i="2" a="1"/>
  <c r="N189" i="2" s="1"/>
  <c r="N190" i="2" a="1"/>
  <c r="N190" i="2" s="1"/>
  <c r="N191" i="2" a="1"/>
  <c r="N191" i="2" s="1"/>
  <c r="N192" i="2" a="1"/>
  <c r="N192" i="2" s="1"/>
  <c r="N193" i="2" a="1"/>
  <c r="N193" i="2" s="1"/>
  <c r="N194" i="2" a="1"/>
  <c r="N194" i="2" s="1"/>
  <c r="N195" i="2" a="1"/>
  <c r="N195" i="2" s="1"/>
  <c r="N196" i="2" a="1"/>
  <c r="N196" i="2" s="1"/>
  <c r="N197" i="2" a="1"/>
  <c r="N197" i="2" s="1"/>
  <c r="N198" i="2" a="1"/>
  <c r="N198" i="2" s="1"/>
  <c r="N199" i="2" a="1"/>
  <c r="N199" i="2" s="1"/>
  <c r="N200" i="2" a="1"/>
  <c r="N200" i="2" s="1"/>
  <c r="N201" i="2" a="1"/>
  <c r="N201" i="2" s="1"/>
  <c r="N202" i="2" a="1"/>
  <c r="N202" i="2" s="1"/>
  <c r="N203" i="2" a="1"/>
  <c r="N203" i="2" s="1"/>
  <c r="N204" i="2" a="1"/>
  <c r="N204" i="2" s="1"/>
  <c r="N205" i="2" a="1"/>
  <c r="N205" i="2" s="1"/>
  <c r="N206" i="2" a="1"/>
  <c r="N206" i="2" s="1"/>
  <c r="N207" i="2" a="1"/>
  <c r="N207" i="2" s="1"/>
  <c r="N208" i="2" a="1"/>
  <c r="N208" i="2" s="1"/>
  <c r="N209" i="2" a="1"/>
  <c r="N209" i="2" s="1"/>
  <c r="N210" i="2" a="1"/>
  <c r="N210" i="2" s="1"/>
  <c r="N211" i="2" a="1"/>
  <c r="N211" i="2" s="1"/>
  <c r="N212" i="2" a="1"/>
  <c r="N212" i="2" s="1"/>
  <c r="N213" i="2" a="1"/>
  <c r="N213" i="2" s="1"/>
  <c r="N214" i="2" a="1"/>
  <c r="N214" i="2" s="1"/>
  <c r="N215" i="2" a="1"/>
  <c r="N215" i="2" s="1"/>
  <c r="N216" i="2" a="1"/>
  <c r="N216" i="2" s="1"/>
  <c r="N217" i="2" a="1"/>
  <c r="N217" i="2" s="1"/>
  <c r="N218" i="2" a="1"/>
  <c r="N218" i="2" s="1"/>
  <c r="N219" i="2" a="1"/>
  <c r="N219" i="2" s="1"/>
  <c r="N220" i="2" a="1"/>
  <c r="N220" i="2" s="1"/>
  <c r="N221" i="2" a="1"/>
  <c r="N221" i="2" s="1"/>
  <c r="N222" i="2" a="1"/>
  <c r="N222" i="2" s="1"/>
  <c r="N223" i="2" a="1"/>
  <c r="N223" i="2" s="1"/>
  <c r="N224" i="2" a="1"/>
  <c r="N224" i="2" s="1"/>
  <c r="N225" i="2" a="1"/>
  <c r="N225" i="2" s="1"/>
  <c r="N226" i="2" a="1"/>
  <c r="N226" i="2" s="1"/>
  <c r="N227" i="2" a="1"/>
  <c r="N227" i="2" s="1"/>
  <c r="N228" i="2" a="1"/>
  <c r="N228" i="2" s="1"/>
  <c r="N229" i="2" a="1"/>
  <c r="N229" i="2" s="1"/>
  <c r="N230" i="2" a="1"/>
  <c r="N230" i="2" s="1"/>
  <c r="N231" i="2" a="1"/>
  <c r="N231" i="2" s="1"/>
  <c r="N232" i="2" a="1"/>
  <c r="N232" i="2" s="1"/>
  <c r="N233" i="2" a="1"/>
  <c r="N233" i="2" s="1"/>
  <c r="N234" i="2" a="1"/>
  <c r="N234" i="2" s="1"/>
  <c r="N235" i="2" a="1"/>
  <c r="N235" i="2" s="1"/>
  <c r="N236" i="2" a="1"/>
  <c r="N236" i="2" s="1"/>
  <c r="N237" i="2" a="1"/>
  <c r="N237" i="2" s="1"/>
  <c r="N238" i="2" a="1"/>
  <c r="N238" i="2" s="1"/>
  <c r="N239" i="2" a="1"/>
  <c r="N239" i="2" s="1"/>
  <c r="N240" i="2" a="1"/>
  <c r="N240" i="2" s="1"/>
  <c r="N241" i="2" a="1"/>
  <c r="N241" i="2" s="1"/>
  <c r="N242" i="2" a="1"/>
  <c r="N242" i="2" s="1"/>
  <c r="N243" i="2" a="1"/>
  <c r="N243" i="2" s="1"/>
  <c r="N244" i="2" a="1"/>
  <c r="N244" i="2" s="1"/>
  <c r="N245" i="2" a="1"/>
  <c r="N245" i="2" s="1"/>
  <c r="N246" i="2" a="1"/>
  <c r="N246" i="2" s="1"/>
  <c r="N247" i="2" a="1"/>
  <c r="N247" i="2" s="1"/>
  <c r="N248" i="2" a="1"/>
  <c r="N248" i="2" s="1"/>
  <c r="N249" i="2" a="1"/>
  <c r="N249" i="2" s="1"/>
  <c r="N250" i="2" a="1"/>
  <c r="N250" i="2" s="1"/>
  <c r="N251" i="2" a="1"/>
  <c r="N251" i="2" s="1"/>
  <c r="N252" i="2" a="1"/>
  <c r="N252" i="2" s="1"/>
  <c r="N253" i="2" a="1"/>
  <c r="N253" i="2" s="1"/>
  <c r="N254" i="2" a="1"/>
  <c r="N254" i="2" s="1"/>
  <c r="N255" i="2" a="1"/>
  <c r="N255" i="2" s="1"/>
  <c r="N256" i="2" a="1"/>
  <c r="N256" i="2" s="1"/>
  <c r="N257" i="2" a="1"/>
  <c r="N257" i="2" s="1"/>
  <c r="N258" i="2" a="1"/>
  <c r="N258" i="2" s="1"/>
  <c r="N259" i="2" a="1"/>
  <c r="N259" i="2" s="1"/>
  <c r="N260" i="2" a="1"/>
  <c r="N260" i="2" s="1"/>
  <c r="N261" i="2" a="1"/>
  <c r="N261" i="2" s="1"/>
  <c r="N262" i="2" a="1"/>
  <c r="N262" i="2" s="1"/>
  <c r="N263" i="2" a="1"/>
  <c r="N263" i="2" s="1"/>
  <c r="N264" i="2" a="1"/>
  <c r="N264" i="2" s="1"/>
  <c r="N265" i="2" a="1"/>
  <c r="N265" i="2" s="1"/>
  <c r="N266" i="2" a="1"/>
  <c r="N266" i="2" s="1"/>
  <c r="N267" i="2" a="1"/>
  <c r="N267" i="2" s="1"/>
  <c r="N268" i="2" a="1"/>
  <c r="N268" i="2" s="1"/>
  <c r="N269" i="2" a="1"/>
  <c r="N269" i="2" s="1"/>
  <c r="N270" i="2" a="1"/>
  <c r="N270" i="2" s="1"/>
  <c r="N271" i="2" a="1"/>
  <c r="N271" i="2" s="1"/>
  <c r="N272" i="2" a="1"/>
  <c r="N272" i="2" s="1"/>
  <c r="N273" i="2" a="1"/>
  <c r="N273" i="2" s="1"/>
  <c r="N274" i="2" a="1"/>
  <c r="N274" i="2" s="1"/>
  <c r="N275" i="2" a="1"/>
  <c r="N275" i="2" s="1"/>
  <c r="N276" i="2" a="1"/>
  <c r="N276" i="2" s="1"/>
  <c r="N277" i="2" a="1"/>
  <c r="N277" i="2" s="1"/>
  <c r="N278" i="2" a="1"/>
  <c r="N278" i="2" s="1"/>
  <c r="N279" i="2" a="1"/>
  <c r="N279" i="2" s="1"/>
  <c r="N280" i="2" a="1"/>
  <c r="N280" i="2" s="1"/>
  <c r="N281" i="2" a="1"/>
  <c r="N281" i="2" s="1"/>
  <c r="N282" i="2" a="1"/>
  <c r="N282" i="2" s="1"/>
  <c r="N283" i="2" a="1"/>
  <c r="N283" i="2" s="1"/>
  <c r="N284" i="2" a="1"/>
  <c r="N284" i="2" s="1"/>
  <c r="N285" i="2" a="1"/>
  <c r="N285" i="2" s="1"/>
  <c r="N286" i="2" a="1"/>
  <c r="N286" i="2" s="1"/>
  <c r="N287" i="2" a="1"/>
  <c r="N287" i="2" s="1"/>
  <c r="N288" i="2" a="1"/>
  <c r="N288" i="2" s="1"/>
  <c r="N289" i="2" a="1"/>
  <c r="N289" i="2" s="1"/>
  <c r="N290" i="2" a="1"/>
  <c r="N290" i="2" s="1"/>
  <c r="N291" i="2" a="1"/>
  <c r="N291" i="2" s="1"/>
  <c r="N292" i="2" a="1"/>
  <c r="N292" i="2" s="1"/>
  <c r="N293" i="2" a="1"/>
  <c r="N293" i="2" s="1"/>
  <c r="N294" i="2" a="1"/>
  <c r="N294" i="2" s="1"/>
  <c r="N295" i="2" a="1"/>
  <c r="N295" i="2" s="1"/>
  <c r="N296" i="2" a="1"/>
  <c r="N296" i="2" s="1"/>
  <c r="N297" i="2" a="1"/>
  <c r="N297" i="2" s="1"/>
  <c r="N298" i="2" a="1"/>
  <c r="N298" i="2" s="1"/>
  <c r="N299" i="2" a="1"/>
  <c r="N299" i="2" s="1"/>
  <c r="N300" i="2" a="1"/>
  <c r="N300" i="2" s="1"/>
  <c r="N301" i="2" a="1"/>
  <c r="N301" i="2" s="1"/>
  <c r="N302" i="2" a="1"/>
  <c r="N302" i="2" s="1"/>
  <c r="N303" i="2" a="1"/>
  <c r="N303" i="2" s="1"/>
  <c r="N304" i="2" a="1"/>
  <c r="N304" i="2" s="1"/>
  <c r="N305" i="2" a="1"/>
  <c r="N305" i="2" s="1"/>
  <c r="N306" i="2" a="1"/>
  <c r="N306" i="2" s="1"/>
  <c r="N307" i="2" a="1"/>
  <c r="N307" i="2" s="1"/>
  <c r="N308" i="2" a="1"/>
  <c r="N308" i="2" s="1"/>
  <c r="N309" i="2" a="1"/>
  <c r="N309" i="2" s="1"/>
  <c r="N310" i="2" a="1"/>
  <c r="N310" i="2" s="1"/>
  <c r="N311" i="2" a="1"/>
  <c r="N311" i="2" s="1"/>
  <c r="N312" i="2" a="1"/>
  <c r="N312" i="2" s="1"/>
  <c r="N313" i="2" a="1"/>
  <c r="N313" i="2" s="1"/>
  <c r="N314" i="2" a="1"/>
  <c r="N314" i="2" s="1"/>
  <c r="N315" i="2" a="1"/>
  <c r="N315" i="2" s="1"/>
  <c r="N316" i="2" a="1"/>
  <c r="N316" i="2" s="1"/>
  <c r="N317" i="2" a="1"/>
  <c r="N317" i="2" s="1"/>
  <c r="N318" i="2" a="1"/>
  <c r="N318" i="2" s="1"/>
  <c r="N319" i="2" a="1"/>
  <c r="N319" i="2" s="1"/>
  <c r="N320" i="2" a="1"/>
  <c r="N320" i="2" s="1"/>
  <c r="N321" i="2" a="1"/>
  <c r="N321" i="2" s="1"/>
  <c r="N322" i="2" a="1"/>
  <c r="N322" i="2" s="1"/>
  <c r="N323" i="2" a="1"/>
  <c r="N323" i="2" s="1"/>
  <c r="N324" i="2" a="1"/>
  <c r="N324" i="2" s="1"/>
  <c r="N325" i="2" a="1"/>
  <c r="N325" i="2" s="1"/>
  <c r="N326" i="2" a="1"/>
  <c r="N326" i="2" s="1"/>
  <c r="N327" i="2" a="1"/>
  <c r="N327" i="2" s="1"/>
  <c r="N328" i="2" a="1"/>
  <c r="N328" i="2" s="1"/>
  <c r="N329" i="2" a="1"/>
  <c r="N329" i="2" s="1"/>
  <c r="N330" i="2" a="1"/>
  <c r="N330" i="2" s="1"/>
  <c r="N331" i="2" a="1"/>
  <c r="N331" i="2" s="1"/>
  <c r="N332" i="2" a="1"/>
  <c r="N332" i="2" s="1"/>
  <c r="N333" i="2" a="1"/>
  <c r="N333" i="2" s="1"/>
  <c r="N334" i="2" a="1"/>
  <c r="N334" i="2" s="1"/>
  <c r="N335" i="2" a="1"/>
  <c r="N335" i="2" s="1"/>
  <c r="N336" i="2" a="1"/>
  <c r="N336" i="2" s="1"/>
  <c r="N337" i="2" a="1"/>
  <c r="N337" i="2" s="1"/>
  <c r="N338" i="2" a="1"/>
  <c r="N338" i="2" s="1"/>
  <c r="N339" i="2" a="1"/>
  <c r="N339" i="2" s="1"/>
  <c r="N340" i="2" a="1"/>
  <c r="N340" i="2" s="1"/>
  <c r="N341" i="2" a="1"/>
  <c r="N341" i="2" s="1"/>
  <c r="N342" i="2" a="1"/>
  <c r="N342" i="2" s="1"/>
  <c r="N343" i="2" a="1"/>
  <c r="N343" i="2" s="1"/>
  <c r="N344" i="2" a="1"/>
  <c r="N344" i="2" s="1"/>
  <c r="N345" i="2" a="1"/>
  <c r="N345" i="2" s="1"/>
  <c r="N346" i="2" a="1"/>
  <c r="N346" i="2" s="1"/>
  <c r="N347" i="2" a="1"/>
  <c r="N347" i="2" s="1"/>
  <c r="N348" i="2" a="1"/>
  <c r="N348" i="2" s="1"/>
  <c r="N349" i="2" a="1"/>
  <c r="N349" i="2" s="1"/>
  <c r="N350" i="2" a="1"/>
  <c r="N350" i="2" s="1"/>
  <c r="N351" i="2" a="1"/>
  <c r="N351" i="2" s="1"/>
  <c r="N352" i="2" a="1"/>
  <c r="N352" i="2" s="1"/>
  <c r="N353" i="2" a="1"/>
  <c r="N353" i="2" s="1"/>
  <c r="N354" i="2" a="1"/>
  <c r="N354" i="2" s="1"/>
  <c r="N355" i="2" a="1"/>
  <c r="N355" i="2" s="1"/>
  <c r="N356" i="2" a="1"/>
  <c r="N356" i="2" s="1"/>
  <c r="N357" i="2" a="1"/>
  <c r="N357" i="2" s="1"/>
  <c r="N358" i="2" a="1"/>
  <c r="N358" i="2" s="1"/>
  <c r="N359" i="2" a="1"/>
  <c r="N359" i="2" s="1"/>
  <c r="N360" i="2" a="1"/>
  <c r="N360" i="2" s="1"/>
  <c r="N361" i="2" a="1"/>
  <c r="N361" i="2" s="1"/>
  <c r="N362" i="2" a="1"/>
  <c r="N362" i="2" s="1"/>
  <c r="N363" i="2" a="1"/>
  <c r="N363" i="2" s="1"/>
  <c r="N364" i="2" a="1"/>
  <c r="N364" i="2" s="1"/>
  <c r="N365" i="2" a="1"/>
  <c r="N365" i="2" s="1"/>
  <c r="N366" i="2" a="1"/>
  <c r="N366" i="2" s="1"/>
  <c r="N367" i="2" a="1"/>
  <c r="N367" i="2" s="1"/>
  <c r="N368" i="2" a="1"/>
  <c r="N368" i="2" s="1"/>
  <c r="N369" i="2" a="1"/>
  <c r="N369" i="2" s="1"/>
  <c r="N370" i="2" a="1"/>
  <c r="N370" i="2" s="1"/>
  <c r="N371" i="2" a="1"/>
  <c r="N371" i="2" s="1"/>
  <c r="N372" i="2" a="1"/>
  <c r="N372" i="2" s="1"/>
  <c r="N373" i="2" a="1"/>
  <c r="N373" i="2" s="1"/>
  <c r="N374" i="2" a="1"/>
  <c r="N374" i="2" s="1"/>
  <c r="N375" i="2" a="1"/>
  <c r="N375" i="2" s="1"/>
  <c r="N376" i="2" a="1"/>
  <c r="N376" i="2" s="1"/>
  <c r="N377" i="2" a="1"/>
  <c r="N377" i="2" s="1"/>
  <c r="N378" i="2" a="1"/>
  <c r="N378" i="2" s="1"/>
  <c r="N379" i="2" a="1"/>
  <c r="N379" i="2" s="1"/>
  <c r="N380" i="2" a="1"/>
  <c r="N380" i="2" s="1"/>
  <c r="N381" i="2" a="1"/>
  <c r="N381" i="2" s="1"/>
  <c r="N382" i="2" a="1"/>
  <c r="N382" i="2" s="1"/>
  <c r="N383" i="2" a="1"/>
  <c r="N383" i="2" s="1"/>
  <c r="N384" i="2" a="1"/>
  <c r="N384" i="2" s="1"/>
  <c r="N385" i="2" a="1"/>
  <c r="N385" i="2" s="1"/>
  <c r="N386" i="2" a="1"/>
  <c r="N386" i="2" s="1"/>
  <c r="N387" i="2" a="1"/>
  <c r="N387" i="2" s="1"/>
  <c r="N388" i="2" a="1"/>
  <c r="N388" i="2" s="1"/>
  <c r="N389" i="2" a="1"/>
  <c r="N389" i="2" s="1"/>
  <c r="N390" i="2" a="1"/>
  <c r="N390" i="2" s="1"/>
  <c r="N391" i="2" a="1"/>
  <c r="N391" i="2" s="1"/>
  <c r="N392" i="2" a="1"/>
  <c r="N392" i="2" s="1"/>
  <c r="N393" i="2" a="1"/>
  <c r="N393" i="2" s="1"/>
  <c r="N394" i="2" a="1"/>
  <c r="N394" i="2" s="1"/>
  <c r="N395" i="2" a="1"/>
  <c r="N395" i="2" s="1"/>
  <c r="N396" i="2" a="1"/>
  <c r="N396" i="2" s="1"/>
  <c r="N397" i="2" a="1"/>
  <c r="N397" i="2" s="1"/>
  <c r="N398" i="2" a="1"/>
  <c r="N398" i="2" s="1"/>
  <c r="N399" i="2" a="1"/>
  <c r="N399" i="2" s="1"/>
  <c r="N400" i="2" a="1"/>
  <c r="N400" i="2" s="1"/>
  <c r="N401" i="2" a="1"/>
  <c r="N401" i="2" s="1"/>
  <c r="N402" i="2" a="1"/>
  <c r="N402" i="2" s="1"/>
  <c r="N403" i="2" a="1"/>
  <c r="N403" i="2" s="1"/>
  <c r="N404" i="2" a="1"/>
  <c r="N404" i="2" s="1"/>
  <c r="N405" i="2" a="1"/>
  <c r="N405" i="2" s="1"/>
  <c r="N406" i="2" a="1"/>
  <c r="N406" i="2" s="1"/>
  <c r="N407" i="2" a="1"/>
  <c r="N407" i="2" s="1"/>
  <c r="N408" i="2" a="1"/>
  <c r="N408" i="2" s="1"/>
  <c r="N409" i="2" a="1"/>
  <c r="N409" i="2" s="1"/>
  <c r="N410" i="2" a="1"/>
  <c r="N410" i="2" s="1"/>
  <c r="N411" i="2" a="1"/>
  <c r="N411" i="2" s="1"/>
  <c r="N412" i="2" a="1"/>
  <c r="N412" i="2" s="1"/>
  <c r="N413" i="2" a="1"/>
  <c r="N413" i="2" s="1"/>
  <c r="N414" i="2" a="1"/>
  <c r="N414" i="2" s="1"/>
  <c r="N415" i="2" a="1"/>
  <c r="N415" i="2" s="1"/>
  <c r="N416" i="2" a="1"/>
  <c r="N416" i="2" s="1"/>
  <c r="N417" i="2" a="1"/>
  <c r="N417" i="2" s="1"/>
  <c r="N418" i="2" a="1"/>
  <c r="N418" i="2" s="1"/>
  <c r="N419" i="2" a="1"/>
  <c r="N419" i="2" s="1"/>
  <c r="N420" i="2" a="1"/>
  <c r="N420" i="2" s="1"/>
  <c r="N421" i="2" a="1"/>
  <c r="N421" i="2" s="1"/>
  <c r="N422" i="2" a="1"/>
  <c r="N422" i="2" s="1"/>
  <c r="N423" i="2" a="1"/>
  <c r="N423" i="2" s="1"/>
  <c r="N424" i="2" a="1"/>
  <c r="N424" i="2" s="1"/>
  <c r="N425" i="2" a="1"/>
  <c r="N425" i="2" s="1"/>
  <c r="N426" i="2" a="1"/>
  <c r="N426" i="2" s="1"/>
  <c r="N427" i="2" a="1"/>
  <c r="N427" i="2" s="1"/>
  <c r="N428" i="2" a="1"/>
  <c r="N428" i="2" s="1"/>
  <c r="N429" i="2" a="1"/>
  <c r="N429" i="2" s="1"/>
  <c r="N430" i="2" a="1"/>
  <c r="N430" i="2" s="1"/>
  <c r="N431" i="2" a="1"/>
  <c r="N431" i="2" s="1"/>
  <c r="N432" i="2" a="1"/>
  <c r="N432" i="2" s="1"/>
  <c r="N433" i="2" a="1"/>
  <c r="N433" i="2" s="1"/>
  <c r="N434" i="2" a="1"/>
  <c r="N434" i="2" s="1"/>
  <c r="N435" i="2" a="1"/>
  <c r="N435" i="2" s="1"/>
  <c r="N436" i="2" a="1"/>
  <c r="N436" i="2" s="1"/>
  <c r="N437" i="2" a="1"/>
  <c r="N437" i="2" s="1"/>
  <c r="N438" i="2" a="1"/>
  <c r="N438" i="2" s="1"/>
  <c r="N439" i="2" a="1"/>
  <c r="N439" i="2" s="1"/>
  <c r="N440" i="2" a="1"/>
  <c r="N440" i="2" s="1"/>
  <c r="N441" i="2" a="1"/>
  <c r="N441" i="2" s="1"/>
  <c r="N442" i="2" a="1"/>
  <c r="N442" i="2" s="1"/>
  <c r="N443" i="2" a="1"/>
  <c r="N443" i="2" s="1"/>
  <c r="N444" i="2" a="1"/>
  <c r="N444" i="2" s="1"/>
  <c r="N445" i="2" a="1"/>
  <c r="N445" i="2" s="1"/>
  <c r="N446" i="2" a="1"/>
  <c r="N446" i="2" s="1"/>
  <c r="N447" i="2" a="1"/>
  <c r="N447" i="2" s="1"/>
  <c r="N448" i="2" a="1"/>
  <c r="N448" i="2" s="1"/>
  <c r="N449" i="2" a="1"/>
  <c r="N449" i="2" s="1"/>
  <c r="N450" i="2" a="1"/>
  <c r="N450" i="2" s="1"/>
  <c r="N451" i="2" a="1"/>
  <c r="N451" i="2" s="1"/>
  <c r="N452" i="2" a="1"/>
  <c r="N452" i="2" s="1"/>
  <c r="N453" i="2" a="1"/>
  <c r="N453" i="2" s="1"/>
  <c r="N454" i="2" a="1"/>
  <c r="N454" i="2" s="1"/>
  <c r="N455" i="2" a="1"/>
  <c r="N455" i="2" s="1"/>
  <c r="N456" i="2" a="1"/>
  <c r="N456" i="2" s="1"/>
  <c r="N457" i="2" a="1"/>
  <c r="N457" i="2" s="1"/>
  <c r="N458" i="2" a="1"/>
  <c r="N458" i="2" s="1"/>
  <c r="N459" i="2" a="1"/>
  <c r="N459" i="2" s="1"/>
  <c r="N460" i="2" a="1"/>
  <c r="N460" i="2" s="1"/>
  <c r="N461" i="2" a="1"/>
  <c r="N461" i="2" s="1"/>
  <c r="N462" i="2" a="1"/>
  <c r="N462" i="2" s="1"/>
  <c r="N463" i="2" a="1"/>
  <c r="N463" i="2" s="1"/>
  <c r="N464" i="2" a="1"/>
  <c r="N464" i="2" s="1"/>
  <c r="N465" i="2" a="1"/>
  <c r="N465" i="2" s="1"/>
  <c r="N466" i="2" a="1"/>
  <c r="N466" i="2" s="1"/>
  <c r="N467" i="2" a="1"/>
  <c r="N467" i="2" s="1"/>
  <c r="N468" i="2" a="1"/>
  <c r="N468" i="2" s="1"/>
  <c r="N469" i="2" a="1"/>
  <c r="N469" i="2" s="1"/>
  <c r="N470" i="2" a="1"/>
  <c r="N470" i="2" s="1"/>
  <c r="N471" i="2" a="1"/>
  <c r="N471" i="2" s="1"/>
  <c r="N472" i="2" a="1"/>
  <c r="N472" i="2" s="1"/>
  <c r="N473" i="2" a="1"/>
  <c r="N473" i="2" s="1"/>
  <c r="N474" i="2" a="1"/>
  <c r="N474" i="2" s="1"/>
  <c r="N475" i="2" a="1"/>
  <c r="N475" i="2" s="1"/>
  <c r="N476" i="2" a="1"/>
  <c r="N476" i="2" s="1"/>
  <c r="N477" i="2" a="1"/>
  <c r="N477" i="2" s="1"/>
  <c r="N478" i="2" a="1"/>
  <c r="N478" i="2" s="1"/>
  <c r="N479" i="2" a="1"/>
  <c r="N479" i="2" s="1"/>
  <c r="N480" i="2" a="1"/>
  <c r="N480" i="2" s="1"/>
  <c r="N481" i="2" a="1"/>
  <c r="N481" i="2" s="1"/>
  <c r="N482" i="2" a="1"/>
  <c r="N482" i="2" s="1"/>
  <c r="N483" i="2" a="1"/>
  <c r="N483" i="2" s="1"/>
  <c r="N484" i="2" a="1"/>
  <c r="N484" i="2" s="1"/>
  <c r="N485" i="2" a="1"/>
  <c r="N485" i="2" s="1"/>
  <c r="N486" i="2" a="1"/>
  <c r="N486" i="2" s="1"/>
  <c r="N487" i="2" a="1"/>
  <c r="N487" i="2" s="1"/>
  <c r="N488" i="2" a="1"/>
  <c r="N488" i="2" s="1"/>
  <c r="N489" i="2" a="1"/>
  <c r="N489" i="2" s="1"/>
  <c r="N490" i="2" a="1"/>
  <c r="N490" i="2" s="1"/>
  <c r="N491" i="2" a="1"/>
  <c r="N491" i="2" s="1"/>
  <c r="N492" i="2" a="1"/>
  <c r="N492" i="2" s="1"/>
  <c r="N493" i="2" a="1"/>
  <c r="N493" i="2" s="1"/>
  <c r="N494" i="2" a="1"/>
  <c r="N494" i="2" s="1"/>
  <c r="N495" i="2" a="1"/>
  <c r="N495" i="2" s="1"/>
  <c r="N496" i="2" a="1"/>
  <c r="N496" i="2" s="1"/>
  <c r="N497" i="2" a="1"/>
  <c r="N497" i="2" s="1"/>
  <c r="N498" i="2" a="1"/>
  <c r="N498" i="2" s="1"/>
  <c r="N499" i="2" a="1"/>
  <c r="N499" i="2" s="1"/>
  <c r="N500" i="2" a="1"/>
  <c r="N500" i="2" s="1"/>
  <c r="N501" i="2" a="1"/>
  <c r="N501" i="2" s="1"/>
  <c r="N502" i="2" a="1"/>
  <c r="N502" i="2" s="1"/>
  <c r="N503" i="2" a="1"/>
  <c r="N503" i="2" s="1"/>
  <c r="N504" i="2" a="1"/>
  <c r="N504" i="2" s="1"/>
  <c r="N505" i="2" a="1"/>
  <c r="N505" i="2" s="1"/>
  <c r="N506" i="2" a="1"/>
  <c r="N506" i="2" s="1"/>
  <c r="N507" i="2" a="1"/>
  <c r="N507" i="2" s="1"/>
  <c r="N508" i="2" a="1"/>
  <c r="N508" i="2" s="1"/>
  <c r="N509" i="2" a="1"/>
  <c r="N509" i="2" s="1"/>
  <c r="N510" i="2" a="1"/>
  <c r="N510" i="2" s="1"/>
  <c r="N511" i="2" a="1"/>
  <c r="N511" i="2" s="1"/>
  <c r="N512" i="2" a="1"/>
  <c r="N512" i="2" s="1"/>
  <c r="N513" i="2" a="1"/>
  <c r="N513" i="2" s="1"/>
  <c r="N514" i="2" a="1"/>
  <c r="N514" i="2" s="1"/>
  <c r="N515" i="2" a="1"/>
  <c r="N515" i="2" s="1"/>
  <c r="N516" i="2" a="1"/>
  <c r="N516" i="2" s="1"/>
  <c r="N517" i="2" a="1"/>
  <c r="N517" i="2" s="1"/>
  <c r="N518" i="2" a="1"/>
  <c r="N518" i="2" s="1"/>
  <c r="N519" i="2" a="1"/>
  <c r="N519" i="2" s="1"/>
  <c r="N520" i="2" a="1"/>
  <c r="N520" i="2" s="1"/>
  <c r="N521" i="2" a="1"/>
  <c r="N521" i="2" s="1"/>
  <c r="N522" i="2" a="1"/>
  <c r="N522" i="2" s="1"/>
  <c r="N523" i="2" a="1"/>
  <c r="N523" i="2" s="1"/>
  <c r="N524" i="2" a="1"/>
  <c r="N524" i="2" s="1"/>
  <c r="N525" i="2" a="1"/>
  <c r="N525" i="2" s="1"/>
  <c r="N526" i="2" a="1"/>
  <c r="N526" i="2" s="1"/>
  <c r="N527" i="2" a="1"/>
  <c r="N527" i="2" s="1"/>
  <c r="N528" i="2" a="1"/>
  <c r="N528" i="2" s="1"/>
  <c r="N529" i="2" a="1"/>
  <c r="N529" i="2" s="1"/>
  <c r="N530" i="2" a="1"/>
  <c r="N530" i="2" s="1"/>
  <c r="N531" i="2" a="1"/>
  <c r="N531" i="2" s="1"/>
  <c r="N532" i="2" a="1"/>
  <c r="N532" i="2" s="1"/>
  <c r="N533" i="2" a="1"/>
  <c r="N533" i="2" s="1"/>
  <c r="N534" i="2" a="1"/>
  <c r="N534" i="2" s="1"/>
  <c r="N535" i="2" a="1"/>
  <c r="N535" i="2" s="1"/>
  <c r="N536" i="2" a="1"/>
  <c r="N536" i="2" s="1"/>
  <c r="N537" i="2" a="1"/>
  <c r="N537" i="2" s="1"/>
  <c r="N538" i="2" a="1"/>
  <c r="N538" i="2" s="1"/>
  <c r="N539" i="2" a="1"/>
  <c r="N539" i="2" s="1"/>
  <c r="N540" i="2" a="1"/>
  <c r="N540" i="2" s="1"/>
  <c r="N541" i="2" a="1"/>
  <c r="N541" i="2" s="1"/>
  <c r="N542" i="2" a="1"/>
  <c r="N542" i="2" s="1"/>
  <c r="N543" i="2" a="1"/>
  <c r="N543" i="2" s="1"/>
  <c r="N544" i="2" a="1"/>
  <c r="N544" i="2" s="1"/>
  <c r="N545" i="2" a="1"/>
  <c r="N545" i="2" s="1"/>
  <c r="N546" i="2" a="1"/>
  <c r="N546" i="2" s="1"/>
  <c r="N547" i="2" a="1"/>
  <c r="N547" i="2" s="1"/>
  <c r="N548" i="2" a="1"/>
  <c r="N548" i="2" s="1"/>
  <c r="N549" i="2" a="1"/>
  <c r="N549" i="2" s="1"/>
  <c r="N550" i="2" a="1"/>
  <c r="N550" i="2" s="1"/>
  <c r="N551" i="2" a="1"/>
  <c r="N551" i="2" s="1"/>
  <c r="N552" i="2" a="1"/>
  <c r="N552" i="2" s="1"/>
  <c r="N553" i="2" a="1"/>
  <c r="N553" i="2" s="1"/>
  <c r="N554" i="2" a="1"/>
  <c r="N554" i="2" s="1"/>
  <c r="N555" i="2" a="1"/>
  <c r="N555" i="2" s="1"/>
  <c r="N556" i="2" a="1"/>
  <c r="N556" i="2" s="1"/>
  <c r="N557" i="2" a="1"/>
  <c r="N557" i="2" s="1"/>
  <c r="N558" i="2" a="1"/>
  <c r="N558" i="2" s="1"/>
  <c r="N559" i="2" a="1"/>
  <c r="N559" i="2" s="1"/>
  <c r="N560" i="2" a="1"/>
  <c r="N560" i="2" s="1"/>
  <c r="N561" i="2" a="1"/>
  <c r="N561" i="2" s="1"/>
  <c r="N562" i="2" a="1"/>
  <c r="N562" i="2" s="1"/>
  <c r="N563" i="2" a="1"/>
  <c r="N563" i="2" s="1"/>
  <c r="N564" i="2" a="1"/>
  <c r="N564" i="2" s="1"/>
  <c r="N565" i="2" a="1"/>
  <c r="N565" i="2" s="1"/>
  <c r="N566" i="2" a="1"/>
  <c r="N566" i="2" s="1"/>
  <c r="N567" i="2" a="1"/>
  <c r="N567" i="2" s="1"/>
  <c r="N568" i="2" a="1"/>
  <c r="N568" i="2" s="1"/>
  <c r="N569" i="2" a="1"/>
  <c r="N569" i="2" s="1"/>
  <c r="N570" i="2" a="1"/>
  <c r="N570" i="2" s="1"/>
  <c r="N571" i="2" a="1"/>
  <c r="N571" i="2" s="1"/>
  <c r="N572" i="2" a="1"/>
  <c r="N572" i="2" s="1"/>
  <c r="N573" i="2" a="1"/>
  <c r="N573" i="2" s="1"/>
  <c r="N574" i="2" a="1"/>
  <c r="N574" i="2" s="1"/>
  <c r="N575" i="2" a="1"/>
  <c r="N575" i="2" s="1"/>
  <c r="N576" i="2" a="1"/>
  <c r="N576" i="2" s="1"/>
  <c r="N577" i="2" a="1"/>
  <c r="N577" i="2" s="1"/>
  <c r="N578" i="2" a="1"/>
  <c r="N578" i="2" s="1"/>
  <c r="N579" i="2" a="1"/>
  <c r="N579" i="2" s="1"/>
  <c r="N580" i="2" a="1"/>
  <c r="N580" i="2" s="1"/>
  <c r="N581" i="2" a="1"/>
  <c r="N581" i="2" s="1"/>
  <c r="N582" i="2" a="1"/>
  <c r="N582" i="2" s="1"/>
  <c r="N583" i="2" a="1"/>
  <c r="N583" i="2" s="1"/>
  <c r="N584" i="2" a="1"/>
  <c r="N584" i="2" s="1"/>
  <c r="N585" i="2" a="1"/>
  <c r="N585" i="2" s="1"/>
  <c r="N586" i="2" a="1"/>
  <c r="N586" i="2" s="1"/>
  <c r="N587" i="2" a="1"/>
  <c r="N587" i="2" s="1"/>
  <c r="N588" i="2" a="1"/>
  <c r="N588" i="2" s="1"/>
  <c r="N589" i="2" a="1"/>
  <c r="N589" i="2" s="1"/>
  <c r="N590" i="2" a="1"/>
  <c r="N590" i="2" s="1"/>
  <c r="N591" i="2" a="1"/>
  <c r="N591" i="2" s="1"/>
  <c r="N592" i="2" a="1"/>
  <c r="N592" i="2" s="1"/>
  <c r="N593" i="2" a="1"/>
  <c r="N593" i="2" s="1"/>
  <c r="N594" i="2" a="1"/>
  <c r="N594" i="2" s="1"/>
  <c r="N595" i="2" a="1"/>
  <c r="N595" i="2" s="1"/>
  <c r="N596" i="2" a="1"/>
  <c r="N596" i="2" s="1"/>
  <c r="N597" i="2" a="1"/>
  <c r="N597" i="2" s="1"/>
  <c r="N598" i="2" a="1"/>
  <c r="N598" i="2" s="1"/>
  <c r="N599" i="2" a="1"/>
  <c r="N599" i="2" s="1"/>
  <c r="N600" i="2" a="1"/>
  <c r="N600" i="2" s="1"/>
  <c r="N601" i="2" a="1"/>
  <c r="N601" i="2" s="1"/>
  <c r="N602" i="2" a="1"/>
  <c r="N602" i="2" s="1"/>
  <c r="N603" i="2" a="1"/>
  <c r="N603" i="2" s="1"/>
  <c r="N604" i="2" a="1"/>
  <c r="N604" i="2" s="1"/>
  <c r="N605" i="2" a="1"/>
  <c r="N605" i="2" s="1"/>
  <c r="N606" i="2" a="1"/>
  <c r="N606" i="2" s="1"/>
  <c r="N607" i="2" a="1"/>
  <c r="N607" i="2" s="1"/>
  <c r="N608" i="2" a="1"/>
  <c r="N608" i="2" s="1"/>
  <c r="N609" i="2" a="1"/>
  <c r="N609" i="2" s="1"/>
  <c r="N610" i="2" a="1"/>
  <c r="N610" i="2" s="1"/>
  <c r="N611" i="2" a="1"/>
  <c r="N611" i="2" s="1"/>
  <c r="N612" i="2" a="1"/>
  <c r="N612" i="2" s="1"/>
  <c r="N613" i="2" a="1"/>
  <c r="N613" i="2" s="1"/>
  <c r="N614" i="2" a="1"/>
  <c r="N614" i="2" s="1"/>
  <c r="N615" i="2" a="1"/>
  <c r="N615" i="2" s="1"/>
  <c r="N616" i="2" a="1"/>
  <c r="N616" i="2" s="1"/>
  <c r="N617" i="2" a="1"/>
  <c r="N617" i="2" s="1"/>
  <c r="N618" i="2" a="1"/>
  <c r="N618" i="2" s="1"/>
  <c r="N619" i="2" a="1"/>
  <c r="N619" i="2" s="1"/>
  <c r="N620" i="2" a="1"/>
  <c r="N620" i="2" s="1"/>
  <c r="N621" i="2" a="1"/>
  <c r="N621" i="2" s="1"/>
  <c r="N622" i="2" a="1"/>
  <c r="N622" i="2" s="1"/>
  <c r="N623" i="2" a="1"/>
  <c r="N623" i="2" s="1"/>
  <c r="N624" i="2" a="1"/>
  <c r="N624" i="2" s="1"/>
  <c r="N625" i="2" a="1"/>
  <c r="N625" i="2" s="1"/>
  <c r="N626" i="2" a="1"/>
  <c r="N626" i="2" s="1"/>
  <c r="N627" i="2" a="1"/>
  <c r="N627" i="2" s="1"/>
  <c r="N628" i="2" a="1"/>
  <c r="N628" i="2" s="1"/>
  <c r="N629" i="2" a="1"/>
  <c r="N629" i="2" s="1"/>
  <c r="N630" i="2" a="1"/>
  <c r="N630" i="2" s="1"/>
  <c r="N631" i="2" a="1"/>
  <c r="N631" i="2" s="1"/>
  <c r="N632" i="2" a="1"/>
  <c r="N632" i="2" s="1"/>
  <c r="N633" i="2" a="1"/>
  <c r="N633" i="2" s="1"/>
  <c r="N634" i="2" a="1"/>
  <c r="N634" i="2" s="1"/>
  <c r="N635" i="2" a="1"/>
  <c r="N635" i="2" s="1"/>
  <c r="N636" i="2" a="1"/>
  <c r="N636" i="2" s="1"/>
  <c r="N637" i="2" a="1"/>
  <c r="N637" i="2" s="1"/>
  <c r="N638" i="2" a="1"/>
  <c r="N638" i="2" s="1"/>
  <c r="N639" i="2" a="1"/>
  <c r="N639" i="2" s="1"/>
  <c r="N640" i="2" a="1"/>
  <c r="N640" i="2" s="1"/>
  <c r="N641" i="2" a="1"/>
  <c r="N641" i="2" s="1"/>
  <c r="N642" i="2" a="1"/>
  <c r="N642" i="2" s="1"/>
  <c r="N643" i="2" a="1"/>
  <c r="N643" i="2" s="1"/>
  <c r="N644" i="2" a="1"/>
  <c r="N644" i="2" s="1"/>
  <c r="N645" i="2" a="1"/>
  <c r="N645" i="2" s="1"/>
  <c r="N646" i="2" a="1"/>
  <c r="N646" i="2" s="1"/>
  <c r="N647" i="2" a="1"/>
  <c r="N647" i="2" s="1"/>
  <c r="N648" i="2" a="1"/>
  <c r="N648" i="2" s="1"/>
  <c r="N649" i="2" a="1"/>
  <c r="N649" i="2" s="1"/>
  <c r="N650" i="2" a="1"/>
  <c r="N650" i="2" s="1"/>
  <c r="N651" i="2" a="1"/>
  <c r="N651" i="2" s="1"/>
  <c r="N652" i="2" a="1"/>
  <c r="N652" i="2" s="1"/>
  <c r="N653" i="2" a="1"/>
  <c r="N653" i="2" s="1"/>
  <c r="N654" i="2" a="1"/>
  <c r="N654" i="2" s="1"/>
  <c r="N655" i="2" a="1"/>
  <c r="N655" i="2" s="1"/>
  <c r="N656" i="2" a="1"/>
  <c r="N656" i="2" s="1"/>
  <c r="N657" i="2" a="1"/>
  <c r="N657" i="2" s="1"/>
  <c r="N658" i="2" a="1"/>
  <c r="N658" i="2" s="1"/>
  <c r="N659" i="2" a="1"/>
  <c r="N659" i="2" s="1"/>
  <c r="N660" i="2" a="1"/>
  <c r="N660" i="2" s="1"/>
  <c r="N661" i="2" a="1"/>
  <c r="N661" i="2" s="1"/>
  <c r="N662" i="2" a="1"/>
  <c r="N662" i="2" s="1"/>
  <c r="N663" i="2" a="1"/>
  <c r="N663" i="2" s="1"/>
  <c r="N664" i="2" a="1"/>
  <c r="N664" i="2" s="1"/>
  <c r="N665" i="2" a="1"/>
  <c r="N665" i="2" s="1"/>
  <c r="N666" i="2" a="1"/>
  <c r="N666" i="2" s="1"/>
  <c r="N667" i="2" a="1"/>
  <c r="N667" i="2" s="1"/>
  <c r="N668" i="2" a="1"/>
  <c r="N668" i="2" s="1"/>
  <c r="N669" i="2" a="1"/>
  <c r="N669" i="2" s="1"/>
  <c r="N670" i="2" a="1"/>
  <c r="N670" i="2" s="1"/>
  <c r="N671" i="2" a="1"/>
  <c r="N671" i="2" s="1"/>
  <c r="N672" i="2" a="1"/>
  <c r="N672" i="2" s="1"/>
  <c r="N673" i="2" a="1"/>
  <c r="N673" i="2" s="1"/>
  <c r="N674" i="2" a="1"/>
  <c r="N674" i="2" s="1"/>
  <c r="N675" i="2" a="1"/>
  <c r="N675" i="2" s="1"/>
  <c r="N676" i="2" a="1"/>
  <c r="N676" i="2" s="1"/>
  <c r="N677" i="2" a="1"/>
  <c r="N677" i="2" s="1"/>
  <c r="N678" i="2" a="1"/>
  <c r="N678" i="2" s="1"/>
  <c r="N679" i="2" a="1"/>
  <c r="N679" i="2" s="1"/>
  <c r="N680" i="2" a="1"/>
  <c r="N680" i="2" s="1"/>
  <c r="N681" i="2" a="1"/>
  <c r="N681" i="2" s="1"/>
  <c r="N682" i="2" a="1"/>
  <c r="N682" i="2" s="1"/>
  <c r="N683" i="2" a="1"/>
  <c r="N683" i="2" s="1"/>
  <c r="N684" i="2" a="1"/>
  <c r="N684" i="2" s="1"/>
  <c r="N685" i="2" a="1"/>
  <c r="N685" i="2" s="1"/>
  <c r="N686" i="2" a="1"/>
  <c r="N686" i="2" s="1"/>
  <c r="N687" i="2" a="1"/>
  <c r="N687" i="2" s="1"/>
  <c r="N688" i="2" a="1"/>
  <c r="N688" i="2" s="1"/>
  <c r="N689" i="2" a="1"/>
  <c r="N689" i="2" s="1"/>
  <c r="N690" i="2" a="1"/>
  <c r="N690" i="2" s="1"/>
  <c r="N691" i="2" a="1"/>
  <c r="N691" i="2" s="1"/>
  <c r="N692" i="2" a="1"/>
  <c r="N692" i="2" s="1"/>
  <c r="N693" i="2" a="1"/>
  <c r="N693" i="2" s="1"/>
  <c r="N694" i="2" a="1"/>
  <c r="N694" i="2" s="1"/>
  <c r="N695" i="2" a="1"/>
  <c r="N695" i="2" s="1"/>
  <c r="N696" i="2" a="1"/>
  <c r="N696" i="2" s="1"/>
  <c r="N697" i="2" a="1"/>
  <c r="N697" i="2" s="1"/>
  <c r="N698" i="2" a="1"/>
  <c r="N698" i="2" s="1"/>
  <c r="N699" i="2" a="1"/>
  <c r="N699" i="2" s="1"/>
  <c r="N700" i="2" a="1"/>
  <c r="N700" i="2" s="1"/>
  <c r="N701" i="2" a="1"/>
  <c r="N701" i="2" s="1"/>
  <c r="N702" i="2" a="1"/>
  <c r="N702" i="2" s="1"/>
  <c r="N703" i="2" a="1"/>
  <c r="N703" i="2" s="1"/>
  <c r="N704" i="2" a="1"/>
  <c r="N704" i="2" s="1"/>
  <c r="N705" i="2" a="1"/>
  <c r="N705" i="2" s="1"/>
  <c r="N706" i="2" a="1"/>
  <c r="N706" i="2" s="1"/>
  <c r="N707" i="2" a="1"/>
  <c r="N707" i="2" s="1"/>
  <c r="N708" i="2" a="1"/>
  <c r="N708" i="2" s="1"/>
  <c r="N709" i="2" a="1"/>
  <c r="N709" i="2" s="1"/>
  <c r="N710" i="2" a="1"/>
  <c r="N710" i="2" s="1"/>
  <c r="N711" i="2" a="1"/>
  <c r="N711" i="2" s="1"/>
  <c r="N712" i="2" a="1"/>
  <c r="N712" i="2" s="1"/>
  <c r="N713" i="2" a="1"/>
  <c r="N713" i="2" s="1"/>
  <c r="N714" i="2" a="1"/>
  <c r="N714" i="2" s="1"/>
  <c r="N715" i="2" a="1"/>
  <c r="N715" i="2" s="1"/>
  <c r="N716" i="2" a="1"/>
  <c r="N716" i="2" s="1"/>
  <c r="N717" i="2" a="1"/>
  <c r="N717" i="2" s="1"/>
  <c r="N718" i="2" a="1"/>
  <c r="N718" i="2" s="1"/>
  <c r="N719" i="2" a="1"/>
  <c r="N719" i="2" s="1"/>
  <c r="N720" i="2" a="1"/>
  <c r="N720" i="2" s="1"/>
  <c r="N721" i="2" a="1"/>
  <c r="N721" i="2" s="1"/>
  <c r="N722" i="2" a="1"/>
  <c r="N722" i="2" s="1"/>
  <c r="N723" i="2" a="1"/>
  <c r="N723" i="2" s="1"/>
  <c r="N724" i="2" a="1"/>
  <c r="N724" i="2" s="1"/>
  <c r="N725" i="2" a="1"/>
  <c r="N725" i="2" s="1"/>
  <c r="N726" i="2" a="1"/>
  <c r="N726" i="2" s="1"/>
  <c r="N727" i="2" a="1"/>
  <c r="N727" i="2" s="1"/>
  <c r="N728" i="2" a="1"/>
  <c r="N728" i="2" s="1"/>
  <c r="N729" i="2" a="1"/>
  <c r="N729" i="2" s="1"/>
  <c r="N730" i="2" a="1"/>
  <c r="N730" i="2" s="1"/>
  <c r="N731" i="2" a="1"/>
  <c r="N731" i="2" s="1"/>
  <c r="N732" i="2" a="1"/>
  <c r="N732" i="2" s="1"/>
  <c r="N733" i="2" a="1"/>
  <c r="N733" i="2" s="1"/>
  <c r="N734" i="2" a="1"/>
  <c r="N734" i="2" s="1"/>
  <c r="N735" i="2" a="1"/>
  <c r="N735" i="2" s="1"/>
  <c r="N736" i="2" a="1"/>
  <c r="N736" i="2" s="1"/>
  <c r="N737" i="2" a="1"/>
  <c r="N737" i="2" s="1"/>
  <c r="N738" i="2" a="1"/>
  <c r="N738" i="2" s="1"/>
  <c r="N739" i="2" a="1"/>
  <c r="N739" i="2" s="1"/>
  <c r="N740" i="2" a="1"/>
  <c r="N740" i="2" s="1"/>
  <c r="N741" i="2" a="1"/>
  <c r="N741" i="2" s="1"/>
  <c r="N742" i="2" a="1"/>
  <c r="N742" i="2" s="1"/>
  <c r="N743" i="2" a="1"/>
  <c r="N743" i="2" s="1"/>
  <c r="N744" i="2" a="1"/>
  <c r="N744" i="2" s="1"/>
  <c r="N745" i="2" a="1"/>
  <c r="N745" i="2" s="1"/>
  <c r="N746" i="2" a="1"/>
  <c r="N746" i="2" s="1"/>
  <c r="N747" i="2" a="1"/>
  <c r="N747" i="2" s="1"/>
  <c r="N748" i="2" a="1"/>
  <c r="N748" i="2" s="1"/>
  <c r="N749" i="2" a="1"/>
  <c r="N749" i="2" s="1"/>
  <c r="N750" i="2" a="1"/>
  <c r="N750" i="2" s="1"/>
  <c r="N751" i="2" a="1"/>
  <c r="N751" i="2" s="1"/>
  <c r="N752" i="2" a="1"/>
  <c r="N752" i="2" s="1"/>
  <c r="N753" i="2" a="1"/>
  <c r="N753" i="2" s="1"/>
  <c r="N754" i="2" a="1"/>
  <c r="N754" i="2" s="1"/>
  <c r="N755" i="2" a="1"/>
  <c r="N755" i="2" s="1"/>
  <c r="N756" i="2" a="1"/>
  <c r="N756" i="2" s="1"/>
  <c r="N757" i="2" a="1"/>
  <c r="N757" i="2" s="1"/>
  <c r="N758" i="2" a="1"/>
  <c r="N758" i="2" s="1"/>
  <c r="N759" i="2" a="1"/>
  <c r="N759" i="2" s="1"/>
  <c r="N760" i="2" a="1"/>
  <c r="N760" i="2" s="1"/>
  <c r="N761" i="2" a="1"/>
  <c r="N761" i="2" s="1"/>
  <c r="N762" i="2" a="1"/>
  <c r="N762" i="2" s="1"/>
  <c r="N763" i="2" a="1"/>
  <c r="N763" i="2" s="1"/>
  <c r="N764" i="2" a="1"/>
  <c r="N764" i="2" s="1"/>
  <c r="N765" i="2" a="1"/>
  <c r="N765" i="2" s="1"/>
  <c r="N766" i="2" a="1"/>
  <c r="N766" i="2" s="1"/>
  <c r="N767" i="2" a="1"/>
  <c r="N767" i="2" s="1"/>
  <c r="N768" i="2" a="1"/>
  <c r="N768" i="2" s="1"/>
  <c r="N769" i="2" a="1"/>
  <c r="N769" i="2" s="1"/>
  <c r="N770" i="2" a="1"/>
  <c r="N770" i="2" s="1"/>
  <c r="N771" i="2" a="1"/>
  <c r="N771" i="2" s="1"/>
  <c r="N772" i="2" a="1"/>
  <c r="N772" i="2" s="1"/>
  <c r="N773" i="2" a="1"/>
  <c r="N773" i="2" s="1"/>
  <c r="N774" i="2" a="1"/>
  <c r="N774" i="2" s="1"/>
  <c r="N775" i="2" a="1"/>
  <c r="N775" i="2" s="1"/>
  <c r="N776" i="2" a="1"/>
  <c r="N776" i="2" s="1"/>
  <c r="N777" i="2" a="1"/>
  <c r="N777" i="2" s="1"/>
  <c r="N778" i="2" a="1"/>
  <c r="N778" i="2" s="1"/>
  <c r="N779" i="2" a="1"/>
  <c r="N779" i="2" s="1"/>
  <c r="N780" i="2" a="1"/>
  <c r="N780" i="2" s="1"/>
  <c r="N781" i="2" a="1"/>
  <c r="N781" i="2" s="1"/>
  <c r="N782" i="2" a="1"/>
  <c r="N782" i="2" s="1"/>
  <c r="N783" i="2" a="1"/>
  <c r="N783" i="2" s="1"/>
  <c r="N784" i="2" a="1"/>
  <c r="N784" i="2" s="1"/>
  <c r="N785" i="2" a="1"/>
  <c r="N785" i="2" s="1"/>
  <c r="N786" i="2" a="1"/>
  <c r="N786" i="2" s="1"/>
  <c r="N787" i="2" a="1"/>
  <c r="N787" i="2" s="1"/>
  <c r="N788" i="2" a="1"/>
  <c r="N788" i="2" s="1"/>
  <c r="N789" i="2" a="1"/>
  <c r="N789" i="2" s="1"/>
  <c r="N790" i="2" a="1"/>
  <c r="N790" i="2" s="1"/>
  <c r="N791" i="2" a="1"/>
  <c r="N791" i="2" s="1"/>
  <c r="N792" i="2" a="1"/>
  <c r="N792" i="2" s="1"/>
  <c r="N793" i="2" a="1"/>
  <c r="N793" i="2" s="1"/>
  <c r="N794" i="2" a="1"/>
  <c r="N794" i="2" s="1"/>
  <c r="N795" i="2" a="1"/>
  <c r="N795" i="2" s="1"/>
  <c r="N796" i="2" a="1"/>
  <c r="N796" i="2" s="1"/>
  <c r="N797" i="2" a="1"/>
  <c r="N797" i="2" s="1"/>
  <c r="N798" i="2" a="1"/>
  <c r="N798" i="2" s="1"/>
  <c r="N799" i="2" a="1"/>
  <c r="N799" i="2" s="1"/>
  <c r="N800" i="2" a="1"/>
  <c r="N800" i="2" s="1"/>
  <c r="N801" i="2" a="1"/>
  <c r="N801" i="2" s="1"/>
  <c r="N802" i="2" a="1"/>
  <c r="N802" i="2" s="1"/>
  <c r="N803" i="2" a="1"/>
  <c r="N803" i="2" s="1"/>
  <c r="N804" i="2" a="1"/>
  <c r="N804" i="2" s="1"/>
  <c r="N805" i="2" a="1"/>
  <c r="N805" i="2" s="1"/>
  <c r="N806" i="2" a="1"/>
  <c r="N806" i="2" s="1"/>
  <c r="N807" i="2" a="1"/>
  <c r="N807" i="2" s="1"/>
  <c r="N808" i="2" a="1"/>
  <c r="N808" i="2" s="1"/>
  <c r="N809" i="2" a="1"/>
  <c r="N809" i="2" s="1"/>
  <c r="N810" i="2" a="1"/>
  <c r="N810" i="2" s="1"/>
  <c r="N811" i="2" a="1"/>
  <c r="N811" i="2" s="1"/>
  <c r="N812" i="2" a="1"/>
  <c r="N812" i="2" s="1"/>
  <c r="N813" i="2" a="1"/>
  <c r="N813" i="2" s="1"/>
  <c r="N814" i="2" a="1"/>
  <c r="N814" i="2" s="1"/>
  <c r="N815" i="2" a="1"/>
  <c r="N815" i="2" s="1"/>
  <c r="N816" i="2" a="1"/>
  <c r="N816" i="2" s="1"/>
  <c r="N817" i="2" a="1"/>
  <c r="N817" i="2" s="1"/>
  <c r="N818" i="2" a="1"/>
  <c r="N818" i="2" s="1"/>
  <c r="N819" i="2" a="1"/>
  <c r="N819" i="2" s="1"/>
  <c r="N820" i="2" a="1"/>
  <c r="N820" i="2" s="1"/>
  <c r="N821" i="2" a="1"/>
  <c r="N821" i="2" s="1"/>
  <c r="N822" i="2" a="1"/>
  <c r="N822" i="2" s="1"/>
  <c r="N823" i="2" a="1"/>
  <c r="N823" i="2" s="1"/>
  <c r="N824" i="2" a="1"/>
  <c r="N824" i="2" s="1"/>
  <c r="N825" i="2" a="1"/>
  <c r="N825" i="2" s="1"/>
  <c r="N826" i="2" a="1"/>
  <c r="N826" i="2" s="1"/>
  <c r="N827" i="2" a="1"/>
  <c r="N827" i="2" s="1"/>
  <c r="N828" i="2" a="1"/>
  <c r="N828" i="2" s="1"/>
  <c r="N829" i="2" a="1"/>
  <c r="N829" i="2" s="1"/>
  <c r="N830" i="2" a="1"/>
  <c r="N830" i="2" s="1"/>
  <c r="N831" i="2" a="1"/>
  <c r="N831" i="2" s="1"/>
  <c r="N832" i="2" a="1"/>
  <c r="N832" i="2" s="1"/>
  <c r="N833" i="2" a="1"/>
  <c r="N833" i="2" s="1"/>
  <c r="N834" i="2" a="1"/>
  <c r="N834" i="2" s="1"/>
  <c r="N835" i="2" a="1"/>
  <c r="N835" i="2" s="1"/>
  <c r="N836" i="2" a="1"/>
  <c r="N836" i="2" s="1"/>
  <c r="N837" i="2" a="1"/>
  <c r="N837" i="2" s="1"/>
  <c r="N838" i="2" a="1"/>
  <c r="N838" i="2" s="1"/>
  <c r="N839" i="2" a="1"/>
  <c r="N839" i="2" s="1"/>
  <c r="N840" i="2" a="1"/>
  <c r="N840" i="2" s="1"/>
  <c r="N841" i="2" a="1"/>
  <c r="N841" i="2" s="1"/>
  <c r="N842" i="2" a="1"/>
  <c r="N842" i="2" s="1"/>
  <c r="N843" i="2" a="1"/>
  <c r="N843" i="2" s="1"/>
  <c r="N844" i="2" a="1"/>
  <c r="N844" i="2" s="1"/>
  <c r="N845" i="2" a="1"/>
  <c r="N845" i="2" s="1"/>
  <c r="N846" i="2" a="1"/>
  <c r="N846" i="2" s="1"/>
  <c r="N847" i="2" a="1"/>
  <c r="N847" i="2" s="1"/>
  <c r="N848" i="2" a="1"/>
  <c r="N848" i="2" s="1"/>
  <c r="N849" i="2" a="1"/>
  <c r="N849" i="2" s="1"/>
  <c r="N850" i="2" a="1"/>
  <c r="N850" i="2" s="1"/>
  <c r="N851" i="2" a="1"/>
  <c r="N851" i="2" s="1"/>
  <c r="N852" i="2" a="1"/>
  <c r="N852" i="2" s="1"/>
  <c r="N853" i="2" a="1"/>
  <c r="N853" i="2" s="1"/>
  <c r="N854" i="2" a="1"/>
  <c r="N854" i="2" s="1"/>
  <c r="N855" i="2" a="1"/>
  <c r="N855" i="2" s="1"/>
  <c r="N856" i="2" a="1"/>
  <c r="N856" i="2" s="1"/>
  <c r="N857" i="2" a="1"/>
  <c r="N857" i="2" s="1"/>
  <c r="N858" i="2" a="1"/>
  <c r="N858" i="2" s="1"/>
  <c r="N859" i="2" a="1"/>
  <c r="N859" i="2" s="1"/>
  <c r="N860" i="2" a="1"/>
  <c r="N860" i="2" s="1"/>
  <c r="N861" i="2" a="1"/>
  <c r="N861" i="2" s="1"/>
  <c r="N862" i="2" a="1"/>
  <c r="N862" i="2" s="1"/>
  <c r="N863" i="2" a="1"/>
  <c r="N863" i="2" s="1"/>
  <c r="N864" i="2" a="1"/>
  <c r="N864" i="2" s="1"/>
  <c r="N865" i="2" a="1"/>
  <c r="N865" i="2" s="1"/>
  <c r="N866" i="2" a="1"/>
  <c r="N866" i="2" s="1"/>
  <c r="N867" i="2" a="1"/>
  <c r="N867" i="2" s="1"/>
  <c r="N868" i="2" a="1"/>
  <c r="N868" i="2" s="1"/>
  <c r="N869" i="2" a="1"/>
  <c r="N869" i="2" s="1"/>
  <c r="N870" i="2" a="1"/>
  <c r="N870" i="2" s="1"/>
  <c r="N871" i="2" a="1"/>
  <c r="N871" i="2" s="1"/>
  <c r="N872" i="2" a="1"/>
  <c r="N872" i="2" s="1"/>
  <c r="N873" i="2" a="1"/>
  <c r="N873" i="2" s="1"/>
  <c r="N874" i="2" a="1"/>
  <c r="N874" i="2" s="1"/>
  <c r="N875" i="2" a="1"/>
  <c r="N875" i="2" s="1"/>
  <c r="N876" i="2" a="1"/>
  <c r="N876" i="2" s="1"/>
  <c r="N877" i="2" a="1"/>
  <c r="N877" i="2" s="1"/>
  <c r="N878" i="2" a="1"/>
  <c r="N878" i="2" s="1"/>
  <c r="N879" i="2" a="1"/>
  <c r="N879" i="2" s="1"/>
  <c r="N880" i="2" a="1"/>
  <c r="N880" i="2" s="1"/>
  <c r="N881" i="2" a="1"/>
  <c r="N881" i="2" s="1"/>
  <c r="N882" i="2" a="1"/>
  <c r="N882" i="2" s="1"/>
  <c r="N883" i="2" a="1"/>
  <c r="N883" i="2" s="1"/>
  <c r="N884" i="2" a="1"/>
  <c r="N884" i="2" s="1"/>
  <c r="N885" i="2" a="1"/>
  <c r="N885" i="2" s="1"/>
  <c r="N886" i="2" a="1"/>
  <c r="N886" i="2" s="1"/>
  <c r="N887" i="2" a="1"/>
  <c r="N887" i="2" s="1"/>
  <c r="N888" i="2" a="1"/>
  <c r="N888" i="2" s="1"/>
  <c r="N889" i="2" a="1"/>
  <c r="N889" i="2" s="1"/>
  <c r="N890" i="2" a="1"/>
  <c r="N890" i="2" s="1"/>
  <c r="N891" i="2" a="1"/>
  <c r="N891" i="2" s="1"/>
  <c r="N892" i="2" a="1"/>
  <c r="N892" i="2" s="1"/>
  <c r="N893" i="2" a="1"/>
  <c r="N893" i="2" s="1"/>
  <c r="N894" i="2" a="1"/>
  <c r="N894" i="2" s="1"/>
  <c r="N895" i="2" a="1"/>
  <c r="N895" i="2" s="1"/>
  <c r="N896" i="2" a="1"/>
  <c r="N896" i="2" s="1"/>
  <c r="N897" i="2" a="1"/>
  <c r="N897" i="2" s="1"/>
  <c r="N898" i="2" a="1"/>
  <c r="N898" i="2" s="1"/>
  <c r="N899" i="2" a="1"/>
  <c r="N899" i="2" s="1"/>
  <c r="N900" i="2" a="1"/>
  <c r="N900" i="2" s="1"/>
  <c r="N901" i="2" a="1"/>
  <c r="N901" i="2" s="1"/>
  <c r="N902" i="2" a="1"/>
  <c r="N902" i="2" s="1"/>
  <c r="N903" i="2" a="1"/>
  <c r="N903" i="2" s="1"/>
  <c r="N904" i="2" a="1"/>
  <c r="N904" i="2" s="1"/>
  <c r="N905" i="2" a="1"/>
  <c r="N905" i="2" s="1"/>
  <c r="N906" i="2" a="1"/>
  <c r="N906" i="2" s="1"/>
  <c r="N907" i="2" a="1"/>
  <c r="N907" i="2" s="1"/>
  <c r="N908" i="2" a="1"/>
  <c r="N908" i="2" s="1"/>
  <c r="N909" i="2" a="1"/>
  <c r="N909" i="2" s="1"/>
  <c r="N910" i="2" a="1"/>
  <c r="N910" i="2" s="1"/>
  <c r="N911" i="2" a="1"/>
  <c r="N911" i="2" s="1"/>
  <c r="N912" i="2" a="1"/>
  <c r="N912" i="2" s="1"/>
  <c r="N913" i="2" a="1"/>
  <c r="N913" i="2" s="1"/>
  <c r="N914" i="2" a="1"/>
  <c r="N914" i="2" s="1"/>
  <c r="N915" i="2" a="1"/>
  <c r="N915" i="2" s="1"/>
  <c r="N916" i="2" a="1"/>
  <c r="N916" i="2" s="1"/>
  <c r="N917" i="2" a="1"/>
  <c r="N917" i="2" s="1"/>
  <c r="N918" i="2" a="1"/>
  <c r="N918" i="2" s="1"/>
  <c r="N919" i="2" a="1"/>
  <c r="N919" i="2" s="1"/>
  <c r="N920" i="2" a="1"/>
  <c r="N920" i="2" s="1"/>
  <c r="N921" i="2" a="1"/>
  <c r="N921" i="2" s="1"/>
  <c r="N922" i="2" a="1"/>
  <c r="N922" i="2" s="1"/>
  <c r="N923" i="2" a="1"/>
  <c r="N923" i="2" s="1"/>
  <c r="N924" i="2" a="1"/>
  <c r="N924" i="2" s="1"/>
  <c r="N925" i="2" a="1"/>
  <c r="N925" i="2" s="1"/>
  <c r="N926" i="2" a="1"/>
  <c r="N926" i="2" s="1"/>
  <c r="N927" i="2" a="1"/>
  <c r="N927" i="2" s="1"/>
  <c r="N928" i="2" a="1"/>
  <c r="N928" i="2" s="1"/>
  <c r="N929" i="2" a="1"/>
  <c r="N929" i="2" s="1"/>
  <c r="N930" i="2" a="1"/>
  <c r="N930" i="2" s="1"/>
  <c r="N931" i="2" a="1"/>
  <c r="N931" i="2" s="1"/>
  <c r="N932" i="2" a="1"/>
  <c r="N932" i="2" s="1"/>
  <c r="N933" i="2" a="1"/>
  <c r="N933" i="2" s="1"/>
  <c r="N934" i="2" a="1"/>
  <c r="N934" i="2" s="1"/>
  <c r="N935" i="2" a="1"/>
  <c r="N935" i="2" s="1"/>
  <c r="N936" i="2" a="1"/>
  <c r="N936" i="2" s="1"/>
  <c r="N937" i="2" a="1"/>
  <c r="N937" i="2" s="1"/>
  <c r="N938" i="2" a="1"/>
  <c r="N938" i="2" s="1"/>
  <c r="N939" i="2" a="1"/>
  <c r="N939" i="2" s="1"/>
  <c r="N940" i="2" a="1"/>
  <c r="N940" i="2" s="1"/>
  <c r="N941" i="2" a="1"/>
  <c r="N941" i="2" s="1"/>
  <c r="N942" i="2" a="1"/>
  <c r="N942" i="2" s="1"/>
  <c r="N943" i="2" a="1"/>
  <c r="N943" i="2" s="1"/>
  <c r="N944" i="2" a="1"/>
  <c r="N944" i="2" s="1"/>
  <c r="N945" i="2" a="1"/>
  <c r="N945" i="2" s="1"/>
  <c r="N946" i="2" a="1"/>
  <c r="N946" i="2" s="1"/>
  <c r="N947" i="2" a="1"/>
  <c r="N947" i="2" s="1"/>
  <c r="N948" i="2" a="1"/>
  <c r="N948" i="2" s="1"/>
  <c r="N949" i="2" a="1"/>
  <c r="N949" i="2" s="1"/>
  <c r="N950" i="2" a="1"/>
  <c r="N950" i="2" s="1"/>
  <c r="N951" i="2" a="1"/>
  <c r="N951" i="2" s="1"/>
  <c r="N952" i="2" a="1"/>
  <c r="N952" i="2" s="1"/>
  <c r="N953" i="2" a="1"/>
  <c r="N953" i="2" s="1"/>
  <c r="N954" i="2" a="1"/>
  <c r="N954" i="2" s="1"/>
  <c r="N955" i="2" a="1"/>
  <c r="N955" i="2" s="1"/>
  <c r="N956" i="2" a="1"/>
  <c r="N956" i="2" s="1"/>
  <c r="N957" i="2" a="1"/>
  <c r="N957" i="2" s="1"/>
  <c r="N958" i="2" a="1"/>
  <c r="N958" i="2" s="1"/>
  <c r="N959" i="2" a="1"/>
  <c r="N959" i="2" s="1"/>
  <c r="N960" i="2" a="1"/>
  <c r="N960" i="2" s="1"/>
  <c r="N961" i="2" a="1"/>
  <c r="N961" i="2" s="1"/>
  <c r="N962" i="2" a="1"/>
  <c r="N962" i="2" s="1"/>
  <c r="N963" i="2" a="1"/>
  <c r="N963" i="2" s="1"/>
  <c r="N964" i="2" a="1"/>
  <c r="N964" i="2" s="1"/>
  <c r="N965" i="2" a="1"/>
  <c r="N965" i="2" s="1"/>
  <c r="N966" i="2" a="1"/>
  <c r="N966" i="2" s="1"/>
  <c r="N967" i="2" a="1"/>
  <c r="N967" i="2" s="1"/>
  <c r="N968" i="2" a="1"/>
  <c r="N968" i="2" s="1"/>
  <c r="N969" i="2" a="1"/>
  <c r="N969" i="2" s="1"/>
  <c r="N970" i="2" a="1"/>
  <c r="N970" i="2" s="1"/>
  <c r="N971" i="2" a="1"/>
  <c r="N971" i="2" s="1"/>
  <c r="N972" i="2" a="1"/>
  <c r="N972" i="2" s="1"/>
  <c r="N973" i="2" a="1"/>
  <c r="N973" i="2" s="1"/>
  <c r="N974" i="2" a="1"/>
  <c r="N974" i="2" s="1"/>
  <c r="N975" i="2" a="1"/>
  <c r="N975" i="2" s="1"/>
  <c r="N976" i="2" a="1"/>
  <c r="N976" i="2" s="1"/>
  <c r="N977" i="2" a="1"/>
  <c r="N977" i="2" s="1"/>
  <c r="N978" i="2" a="1"/>
  <c r="N978" i="2" s="1"/>
  <c r="N979" i="2" a="1"/>
  <c r="N979" i="2" s="1"/>
  <c r="N980" i="2" a="1"/>
  <c r="N980" i="2" s="1"/>
  <c r="N981" i="2" a="1"/>
  <c r="N981" i="2" s="1"/>
  <c r="N982" i="2" a="1"/>
  <c r="N982" i="2" s="1"/>
  <c r="N983" i="2" a="1"/>
  <c r="N983" i="2" s="1"/>
  <c r="N984" i="2" a="1"/>
  <c r="N984" i="2" s="1"/>
  <c r="N985" i="2" a="1"/>
  <c r="N985" i="2" s="1"/>
  <c r="N986" i="2" a="1"/>
  <c r="N986" i="2" s="1"/>
  <c r="N987" i="2" a="1"/>
  <c r="N987" i="2" s="1"/>
  <c r="N988" i="2" a="1"/>
  <c r="N988" i="2" s="1"/>
  <c r="N989" i="2" a="1"/>
  <c r="N989" i="2" s="1"/>
  <c r="N990" i="2" a="1"/>
  <c r="N990" i="2" s="1"/>
  <c r="N991" i="2" a="1"/>
  <c r="N991" i="2" s="1"/>
  <c r="N992" i="2" a="1"/>
  <c r="N992" i="2" s="1"/>
  <c r="N993" i="2" a="1"/>
  <c r="N993" i="2" s="1"/>
  <c r="N994" i="2" a="1"/>
  <c r="N994" i="2" s="1"/>
  <c r="N995" i="2" a="1"/>
  <c r="N995" i="2" s="1"/>
  <c r="N996" i="2" a="1"/>
  <c r="N996" i="2" s="1"/>
  <c r="N997" i="2" a="1"/>
  <c r="N997" i="2" s="1"/>
  <c r="N998" i="2" a="1"/>
  <c r="N998" i="2" s="1"/>
  <c r="N999" i="2" a="1"/>
  <c r="N999" i="2" s="1"/>
  <c r="N1000" i="2" a="1"/>
  <c r="N1000" i="2" s="1"/>
  <c r="N1001" i="2" a="1"/>
  <c r="N1001" i="2" s="1"/>
  <c r="N1002" i="2" a="1"/>
  <c r="N1002" i="2" s="1"/>
  <c r="N1003" i="2" a="1"/>
  <c r="N1003" i="2" s="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B3AB67-B1D1-46A1-B7C9-F9DB9F48BB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1F7FA09-48D6-4FCE-A73E-38F926EE2DF9}"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<sst xmlns="http://schemas.openxmlformats.org/spreadsheetml/2006/main" count="3239" uniqueCount="1095">
  <si>
    <t>Customer ID</t>
  </si>
  <si>
    <t>Duration</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</si>
  <si>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</si>
  <si>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</si>
  <si>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</si>
  <si>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</si>
  <si>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</si>
  <si>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</si>
  <si>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</si>
  <si>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</si>
  <si>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</si>
  <si>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</si>
  <si>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</si>
  <si>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</si>
  <si>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</si>
  <si>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</si>
  <si>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</si>
  <si>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</si>
  <si>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</si>
  <si>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</si>
  <si>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</si>
  <si>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</si>
  <si>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</si>
  <si>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</si>
  <si>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</si>
  <si>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</si>
  <si>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</si>
  <si>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</si>
  <si>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</si>
  <si>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</si>
  <si>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</si>
  <si>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</si>
  <si>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</si>
  <si>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</si>
  <si>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</si>
  <si>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</si>
  <si>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</si>
  <si>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</si>
  <si>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</si>
  <si>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</si>
  <si>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</si>
  <si>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</si>
  <si>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</si>
  <si>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</si>
  <si>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</si>
  <si>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</si>
  <si>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</si>
  <si>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</si>
  <si>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</si>
  <si>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</si>
  <si>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</si>
  <si>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</si>
  <si>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</si>
  <si>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</si>
  <si>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</si>
  <si>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</si>
  <si>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</si>
  <si>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</si>
  <si>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</si>
  <si>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</si>
  <si>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</si>
  <si>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</si>
  <si>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</si>
  <si>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</si>
  <si>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</si>
  <si>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</si>
  <si>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</si>
  <si>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</si>
  <si>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</si>
  <si>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</si>
  <si>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</si>
  <si>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</si>
  <si>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</si>
  <si>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</si>
  <si>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</si>
  <si>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</si>
  <si>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</si>
  <si>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</si>
  <si>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</si>
  <si>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</si>
  <si>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</si>
  <si>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</si>
  <si>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</si>
  <si>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</si>
  <si>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</si>
  <si>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</si>
  <si>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</si>
  <si>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</si>
  <si>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</si>
  <si>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</si>
  <si>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</si>
  <si>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</si>
  <si>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</si>
  <si>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</si>
  <si>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</si>
  <si>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</si>
  <si>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</si>
  <si>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</si>
  <si>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</si>
  <si>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</si>
  <si>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</si>
  <si>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</si>
  <si>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</si>
  <si>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</si>
  <si>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</si>
  <si>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</si>
  <si>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</si>
  <si>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</si>
  <si>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</si>
  <si>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</si>
  <si>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</si>
  <si>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</si>
  <si>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</si>
  <si>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</si>
  <si>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</si>
  <si>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</si>
  <si>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</si>
  <si>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</si>
  <si>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</si>
  <si>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</si>
  <si>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</si>
  <si>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</si>
  <si>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</si>
  <si>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</si>
  <si>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</si>
  <si>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</si>
  <si>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</si>
  <si>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</si>
  <si>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</si>
  <si>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</si>
  <si>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</si>
  <si>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</si>
  <si>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</si>
  <si>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</si>
  <si>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</si>
  <si>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</si>
  <si>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</si>
  <si>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</si>
  <si>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</si>
  <si>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</si>
  <si>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</si>
  <si>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</si>
  <si>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</si>
  <si>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</si>
  <si>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</si>
  <si>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</si>
  <si>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</si>
  <si>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</si>
  <si>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</si>
  <si>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</si>
  <si>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</si>
  <si>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</si>
  <si>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</si>
  <si>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</si>
  <si>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</si>
  <si>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</si>
  <si>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</si>
  <si>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</si>
  <si>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</si>
  <si>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</si>
  <si>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</si>
  <si>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</si>
  <si>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</si>
  <si>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</si>
  <si>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</si>
  <si>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</si>
  <si>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</si>
  <si>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</si>
  <si>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</si>
  <si>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</si>
  <si>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</si>
  <si>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</si>
  <si>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</si>
  <si>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</si>
  <si>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</si>
  <si>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</si>
  <si>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</si>
  <si>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</si>
  <si>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</si>
  <si>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</si>
  <si>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</si>
  <si>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</si>
  <si>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</si>
  <si>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</si>
  <si>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</si>
  <si>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</si>
  <si>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</si>
  <si>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</si>
  <si>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</si>
  <si>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</si>
  <si>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</si>
  <si>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</si>
  <si>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</si>
  <si>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</si>
  <si>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</si>
  <si>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</si>
  <si>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</si>
  <si>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</si>
  <si>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</si>
  <si>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</si>
  <si>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</si>
  <si>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</si>
  <si>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</si>
  <si>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</si>
  <si>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</si>
  <si>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</si>
  <si>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</si>
  <si>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</si>
  <si>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</si>
  <si>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</si>
  <si>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</si>
  <si>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</si>
  <si>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</si>
  <si>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</si>
  <si>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</si>
  <si>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</si>
  <si>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</si>
  <si>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</si>
  <si>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</si>
  <si>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</si>
  <si>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</si>
  <si>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</si>
  <si>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</si>
  <si>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</si>
  <si>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</si>
  <si>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</si>
  <si>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</si>
  <si>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</si>
  <si>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</si>
  <si>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</si>
  <si>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</si>
  <si>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</si>
  <si>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</si>
  <si>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</si>
  <si>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</si>
  <si>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</si>
  <si>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</si>
  <si>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</si>
  <si>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</si>
  <si>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</si>
  <si>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</si>
  <si>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</si>
  <si>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</si>
  <si>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</si>
  <si>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</si>
  <si>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</si>
  <si>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</si>
  <si>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</si>
  <si>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</si>
  <si>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</si>
  <si>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</si>
  <si>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</si>
  <si>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</si>
  <si>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</si>
  <si>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</si>
  <si>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</si>
  <si>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</si>
  <si>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</si>
  <si>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</si>
  <si>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</si>
  <si>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</si>
  <si>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</si>
  <si>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</si>
  <si>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</si>
  <si>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</si>
  <si>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</si>
  <si>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</si>
  <si>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</si>
  <si>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</si>
  <si>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</si>
  <si>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</si>
  <si>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</si>
  <si>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</si>
  <si>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</si>
  <si>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</si>
  <si>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</si>
  <si>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</si>
  <si>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</si>
  <si>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</si>
  <si>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</si>
  <si>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</si>
  <si>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</si>
  <si>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</si>
  <si>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</si>
  <si>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</si>
  <si>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</si>
  <si>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</si>
  <si>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</si>
  <si>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</si>
  <si>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</si>
  <si>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</si>
  <si>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</si>
  <si>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</si>
  <si>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</si>
  <si>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</si>
  <si>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</si>
  <si>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</si>
  <si>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</si>
  <si>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</si>
  <si>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</si>
  <si>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</si>
  <si>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</si>
  <si>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</si>
  <si>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</si>
  <si>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</si>
  <si>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</si>
  <si>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</si>
  <si>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</si>
  <si>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</si>
  <si>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</si>
  <si>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</si>
  <si>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</si>
  <si>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</si>
  <si>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</si>
  <si>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</si>
  <si>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</si>
  <si>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</si>
  <si>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</si>
  <si>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</si>
  <si>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</si>
  <si>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</si>
  <si>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</si>
  <si>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</si>
  <si>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</si>
  <si>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</si>
  <si>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</si>
  <si>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</si>
  <si>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</si>
  <si>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</si>
  <si>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</si>
  <si>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</si>
  <si>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</si>
  <si>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</si>
  <si>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</si>
  <si>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</si>
  <si>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</si>
  <si>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</si>
  <si>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</si>
  <si>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</si>
  <si>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</si>
  <si>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</si>
  <si>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</si>
  <si>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</si>
  <si>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</si>
  <si>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</si>
  <si>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</si>
  <si>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</si>
  <si>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</si>
  <si>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</si>
  <si>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</si>
  <si>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</si>
  <si>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</si>
  <si>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</si>
  <si>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</si>
  <si>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</si>
  <si>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</si>
  <si>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</si>
  <si>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</si>
  <si>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</si>
  <si>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</si>
  <si>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</si>
  <si>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</si>
  <si>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</si>
  <si>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</si>
  <si>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</si>
  <si>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</si>
  <si>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</si>
  <si>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</si>
  <si>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</si>
  <si>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</si>
  <si>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</si>
  <si>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</si>
  <si>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</si>
  <si>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</si>
  <si>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</si>
  <si>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</si>
  <si>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</si>
  <si>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</si>
  <si>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</si>
  <si>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</si>
  <si>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</si>
  <si>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</si>
  <si>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</si>
  <si>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</si>
  <si>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</si>
  <si>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</si>
  <si>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</si>
  <si>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</si>
  <si>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</si>
  <si>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</si>
  <si>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</si>
  <si>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</si>
  <si>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</si>
  <si>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</si>
  <si>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</si>
  <si>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</si>
  <si>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</si>
  <si>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</si>
  <si>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</si>
  <si>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</si>
  <si>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</si>
  <si>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</si>
  <si>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</si>
  <si>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</si>
  <si>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</si>
  <si>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</si>
  <si>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</si>
  <si>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</si>
  <si>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</si>
  <si>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</si>
  <si>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</si>
  <si>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</si>
  <si>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</si>
  <si>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</si>
  <si>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</si>
  <si>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</si>
  <si>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</si>
  <si>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</si>
  <si>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</si>
  <si>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</si>
  <si>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</si>
  <si>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</si>
  <si>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</si>
  <si>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</si>
  <si>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</si>
  <si>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</si>
  <si>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</si>
  <si>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</si>
  <si>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</si>
  <si>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</si>
  <si>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</si>
  <si>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</si>
  <si>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</si>
  <si>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</si>
  <si>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</si>
  <si>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</si>
  <si>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</si>
  <si>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</si>
  <si>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</si>
  <si>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</si>
  <si>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</si>
  <si>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</si>
  <si>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</si>
  <si>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</si>
  <si>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</si>
  <si>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</si>
  <si>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</si>
  <si>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</si>
  <si>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</si>
  <si>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</si>
  <si>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</si>
  <si>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</si>
  <si>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</si>
  <si>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</si>
  <si>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</si>
  <si>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</si>
  <si>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</si>
  <si>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</si>
  <si>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</si>
  <si>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</si>
  <si>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</si>
  <si>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</si>
  <si>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</si>
  <si>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</si>
  <si>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</si>
  <si>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</si>
  <si>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</si>
  <si>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</si>
  <si>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</si>
  <si>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</si>
  <si>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</si>
  <si>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</si>
  <si>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</si>
  <si>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</si>
  <si>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</si>
  <si>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</si>
  <si>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</si>
  <si>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</si>
  <si>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</si>
  <si>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</si>
  <si>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</si>
  <si>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</si>
  <si>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</si>
  <si>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</si>
  <si>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</si>
  <si>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</si>
  <si>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</si>
  <si>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</si>
  <si>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</si>
  <si>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</si>
  <si>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</si>
  <si>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</si>
  <si>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</si>
  <si>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</si>
  <si>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</si>
  <si>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</si>
  <si>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</si>
  <si>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</si>
  <si>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</si>
  <si>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</si>
  <si>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</si>
  <si>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</si>
  <si>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</si>
  <si>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</si>
  <si>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</si>
  <si>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</si>
  <si>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</si>
  <si>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</si>
  <si>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</si>
  <si>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</si>
  <si>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</si>
  <si>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</si>
  <si>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</si>
  <si>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</si>
  <si>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</si>
  <si>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</si>
  <si>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</si>
  <si>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</si>
  <si>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</si>
  <si>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</si>
  <si>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</si>
  <si>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</si>
  <si>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</si>
  <si>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</si>
  <si>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</si>
  <si>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</si>
  <si>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</si>
  <si>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</si>
  <si>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</si>
  <si>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</si>
  <si>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</si>
  <si>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</si>
  <si>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</si>
  <si>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</si>
  <si>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</si>
  <si>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</si>
  <si>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</si>
  <si>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</si>
  <si>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</si>
  <si>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</si>
  <si>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</si>
  <si>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</si>
  <si>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</si>
  <si>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</si>
  <si>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</si>
  <si>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</si>
  <si>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</si>
  <si>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</si>
  <si>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</si>
  <si>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</si>
  <si>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</si>
  <si>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</si>
  <si>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</si>
  <si>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</si>
  <si>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</si>
  <si>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</si>
  <si>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</si>
  <si>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</si>
  <si>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</si>
  <si>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</si>
  <si>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</si>
  <si>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</si>
  <si>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</si>
  <si>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</si>
  <si>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</si>
  <si>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</si>
  <si>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</si>
  <si>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</si>
  <si>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</si>
  <si>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</si>
  <si>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</si>
  <si>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</si>
  <si>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</si>
  <si>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</si>
  <si>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</si>
  <si>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</si>
  <si>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</si>
  <si>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</si>
  <si>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</si>
  <si>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</si>
  <si>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</si>
  <si>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</si>
  <si>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</si>
  <si>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</si>
  <si>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</si>
  <si>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</si>
  <si>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</si>
  <si>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</si>
  <si>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</si>
  <si>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</si>
  <si>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</si>
  <si>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</si>
  <si>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</si>
  <si>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</si>
  <si>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</si>
  <si>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</si>
  <si>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</si>
  <si>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</si>
  <si>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</si>
  <si>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</si>
  <si>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</si>
  <si>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</si>
  <si>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</si>
  <si>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</si>
  <si>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</si>
  <si>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</si>
  <si>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</si>
  <si>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</si>
  <si>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</si>
  <si>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</si>
  <si>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</si>
  <si>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</si>
  <si>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</si>
  <si>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</si>
  <si>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</si>
  <si>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</si>
  <si>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</si>
  <si>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</si>
  <si>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</si>
  <si>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</si>
  <si>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</si>
  <si>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</si>
  <si>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</si>
  <si>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</si>
  <si>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</si>
  <si>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</si>
  <si>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</si>
  <si>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</si>
  <si>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</si>
  <si>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</si>
  <si>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</si>
  <si>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</si>
  <si>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</si>
  <si>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</si>
  <si>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</si>
  <si>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</si>
  <si>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</si>
  <si>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</si>
  <si>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</si>
  <si>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</si>
  <si>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</si>
  <si>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</si>
  <si>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</si>
  <si>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</si>
  <si>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</si>
  <si>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</si>
  <si>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</si>
  <si>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</si>
  <si>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</si>
  <si>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</si>
  <si>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</si>
  <si>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</si>
  <si>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</si>
  <si>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</si>
  <si>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</si>
  <si>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</si>
  <si>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</si>
  <si>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</si>
  <si>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</si>
  <si>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</si>
  <si>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</si>
  <si>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</si>
  <si>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</si>
  <si>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</si>
  <si>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</si>
  <si>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</si>
  <si>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</si>
  <si>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</si>
  <si>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</si>
  <si>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</si>
  <si>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</si>
  <si>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</si>
  <si>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</si>
  <si>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</si>
  <si>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</si>
  <si>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</si>
  <si>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</si>
  <si>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</si>
  <si>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</si>
  <si>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</si>
  <si>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</si>
  <si>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</si>
  <si>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</si>
  <si>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</si>
  <si>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</si>
  <si>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</si>
  <si>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</si>
  <si>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</si>
  <si>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</si>
  <si>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</si>
  <si>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</si>
  <si>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</si>
  <si>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</si>
  <si>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</si>
  <si>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</si>
  <si>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</si>
  <si>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</si>
  <si>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</si>
  <si>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</si>
  <si>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</si>
  <si>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</si>
  <si>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</si>
  <si>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</si>
  <si>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</si>
  <si>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</si>
  <si>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</si>
  <si>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</si>
  <si>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</si>
  <si>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</si>
  <si>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</si>
  <si>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</si>
  <si>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</si>
  <si>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</si>
  <si>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</si>
  <si>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</si>
  <si>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</si>
  <si>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</si>
  <si>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</si>
  <si>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</si>
  <si>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</si>
  <si>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</si>
  <si>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</si>
  <si>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</si>
  <si>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</si>
  <si>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</si>
  <si>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</si>
  <si>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</si>
  <si>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</si>
  <si>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</si>
  <si>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</si>
  <si>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</si>
  <si>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</si>
  <si>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</si>
  <si>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</si>
  <si>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</si>
  <si>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</si>
  <si>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</si>
  <si>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</si>
  <si>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</si>
  <si>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</si>
  <si>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</si>
  <si>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</si>
  <si>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</si>
  <si>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</si>
  <si>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</si>
  <si>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</si>
  <si>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</si>
  <si>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</si>
  <si>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</si>
  <si>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</si>
  <si>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</si>
  <si>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</si>
  <si>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</si>
  <si>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</si>
  <si>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</si>
  <si>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</si>
  <si>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</si>
  <si>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</si>
  <si>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</si>
  <si>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</si>
  <si>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</si>
  <si>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</si>
  <si>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</si>
  <si>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</si>
  <si>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</si>
  <si>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</si>
  <si>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</si>
  <si>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</si>
  <si>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</si>
  <si>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</si>
  <si>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</si>
  <si>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</si>
  <si>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</si>
  <si>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</si>
  <si>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</si>
  <si>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</si>
  <si>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</si>
  <si>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</si>
  <si>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</si>
  <si>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</si>
  <si>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</si>
  <si>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</si>
  <si>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</si>
  <si>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</si>
  <si>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</si>
  <si>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</si>
  <si>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</si>
  <si>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</si>
  <si>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</si>
  <si>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</si>
  <si>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</si>
  <si>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</si>
  <si>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</si>
  <si>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</si>
  <si>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</si>
  <si>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</si>
  <si>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</si>
  <si>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</si>
  <si>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</si>
  <si>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</si>
  <si>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</si>
  <si>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</si>
  <si>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</si>
  <si>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</si>
  <si>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</si>
  <si>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</si>
  <si>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</si>
  <si>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</si>
  <si>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</si>
  <si>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</si>
  <si>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</si>
  <si>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</si>
  <si>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</si>
  <si>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</si>
  <si>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</si>
  <si>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</si>
  <si>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</si>
  <si>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</si>
  <si>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</si>
  <si>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</si>
  <si>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</si>
  <si>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</si>
  <si>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</si>
  <si>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</si>
  <si>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</si>
  <si>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</si>
  <si>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</si>
  <si>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</si>
  <si>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</si>
  <si>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</si>
  <si>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</si>
  <si>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</si>
  <si>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</si>
  <si>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</si>
  <si>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</si>
  <si>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</si>
  <si>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</si>
  <si>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</si>
  <si>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</si>
  <si>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</si>
  <si>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</si>
  <si>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</si>
  <si>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</si>
  <si>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</si>
  <si>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</si>
  <si>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</si>
  <si>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</si>
  <si>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</si>
  <si>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</si>
  <si>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</si>
  <si>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</si>
  <si>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</si>
  <si>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</si>
  <si>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</si>
  <si>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</si>
  <si>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</si>
  <si>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</si>
  <si>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</si>
  <si>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</si>
  <si>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</si>
  <si>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</si>
  <si>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</si>
  <si>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</si>
  <si>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</si>
  <si>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</si>
  <si>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</si>
  <si>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</si>
  <si>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</si>
  <si>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</si>
  <si>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</si>
  <si>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</si>
  <si>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</si>
  <si>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</si>
  <si>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</si>
  <si>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</si>
  <si>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</si>
  <si>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</si>
  <si>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</si>
  <si>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</si>
  <si>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</si>
  <si>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</si>
  <si>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</si>
  <si>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</si>
  <si>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</si>
  <si>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</si>
  <si>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</si>
  <si>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</si>
  <si>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</si>
  <si>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</si>
  <si>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</si>
  <si>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</si>
  <si>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</si>
  <si>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</si>
  <si>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</si>
  <si>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</si>
  <si>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</si>
  <si>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</si>
  <si>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</si>
  <si>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</si>
  <si>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</si>
  <si>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</si>
  <si>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</si>
  <si>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</si>
  <si>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</si>
  <si>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</si>
  <si>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</si>
  <si>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</si>
  <si>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</si>
  <si>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</si>
  <si>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</si>
  <si>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</si>
  <si>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</si>
  <si>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</si>
  <si>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</si>
  <si>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</si>
  <si>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</si>
  <si>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</si>
  <si>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</si>
  <si>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</si>
  <si>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</si>
  <si>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</si>
  <si>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</si>
  <si>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</si>
  <si>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</si>
  <si>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</si>
  <si>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</si>
  <si>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</si>
  <si>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</si>
  <si>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</si>
  <si>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</si>
  <si>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</si>
  <si>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</si>
  <si>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</si>
  <si>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</si>
  <si>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</si>
  <si>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</si>
  <si>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</si>
  <si>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</si>
  <si>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</si>
  <si>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</si>
  <si>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</si>
  <si>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</si>
  <si>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</si>
  <si>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</si>
  <si>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</si>
  <si>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</si>
  <si>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</si>
  <si>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</si>
  <si>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</si>
  <si>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</si>
  <si>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</si>
  <si>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</si>
  <si>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</si>
  <si>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</si>
  <si>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</si>
  <si>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</si>
  <si>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</si>
  <si>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</si>
  <si>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</si>
  <si>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</si>
  <si>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</si>
  <si>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</si>
  <si>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</si>
  <si>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</si>
  <si>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</si>
  <si>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</si>
  <si>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</si>
  <si>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</si>
  <si>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</si>
  <si>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</si>
  <si>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</si>
  <si>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</si>
  <si>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</si>
  <si>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</si>
  <si>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</si>
  <si>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</si>
  <si>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</si>
  <si>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</si>
  <si>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</si>
  <si>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</si>
  <si>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</si>
  <si>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</si>
  <si>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</si>
  <si>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</si>
  <si>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</si>
  <si>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</si>
  <si>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</si>
  <si>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</si>
  <si>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</si>
  <si>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</si>
  <si>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</si>
  <si>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</si>
  <si>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</si>
  <si>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</si>
  <si>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</si>
  <si>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</si>
  <si>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</si>
  <si>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</si>
  <si>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</si>
  <si>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</si>
  <si>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</si>
  <si>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</si>
  <si>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</si>
  <si>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</si>
  <si>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</si>
  <si>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</si>
  <si>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</si>
  <si>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</si>
  <si>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</si>
  <si>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</si>
  <si>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</si>
  <si>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</si>
  <si>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</si>
  <si>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</si>
  <si>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</si>
  <si>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</si>
  <si>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</si>
  <si>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</si>
  <si>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</si>
  <si>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</si>
  <si>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</si>
  <si>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</si>
  <si>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</si>
  <si>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</si>
  <si>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</si>
  <si>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</si>
  <si>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</si>
  <si>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</si>
  <si>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</si>
  <si>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</si>
  <si>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</si>
  <si>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</si>
  <si>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</si>
  <si>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</si>
  <si>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</si>
  <si>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Day of week</t>
  </si>
  <si>
    <t>Duration Bucket</t>
  </si>
  <si>
    <t>Rating rounded</t>
  </si>
  <si>
    <t>Year</t>
  </si>
  <si>
    <t>Total Calls</t>
  </si>
  <si>
    <t>Max Call Duration</t>
  </si>
  <si>
    <t>Min Call Duration</t>
  </si>
  <si>
    <t>Total Purchase Amount</t>
  </si>
  <si>
    <t>Avg Purchase Amount</t>
  </si>
  <si>
    <t>Max Purchase Amount</t>
  </si>
  <si>
    <t>Min Purchase Amount</t>
  </si>
  <si>
    <t>Grand Total</t>
  </si>
  <si>
    <t>Total Calls By Customer</t>
  </si>
  <si>
    <t>Customer</t>
  </si>
  <si>
    <t>Avg Rating</t>
  </si>
  <si>
    <t>Total Duration</t>
  </si>
  <si>
    <t>Total Duration By Customer</t>
  </si>
  <si>
    <t>Avg Duration</t>
  </si>
  <si>
    <t>Avg Duration By Customer</t>
  </si>
  <si>
    <t>Avg Rating Calls By Customer</t>
  </si>
  <si>
    <t>يناير</t>
  </si>
  <si>
    <t>فبراير</t>
  </si>
  <si>
    <t>مارس</t>
  </si>
  <si>
    <t>أبريل</t>
  </si>
  <si>
    <t>مايو</t>
  </si>
  <si>
    <t>يونيو</t>
  </si>
  <si>
    <t>يوليو</t>
  </si>
  <si>
    <t>أغسطس</t>
  </si>
  <si>
    <t>سبتمبر</t>
  </si>
  <si>
    <t>أكتوبر</t>
  </si>
  <si>
    <t>نوفمبر</t>
  </si>
  <si>
    <t>ديسمبر</t>
  </si>
  <si>
    <t>Month</t>
  </si>
  <si>
    <t>السبت</t>
  </si>
  <si>
    <t>الأحد</t>
  </si>
  <si>
    <t>الإثنين</t>
  </si>
  <si>
    <t>الثلاثاء</t>
  </si>
  <si>
    <t>الأربعاء</t>
  </si>
  <si>
    <t>الخميس</t>
  </si>
  <si>
    <t>الجمعة</t>
  </si>
  <si>
    <t>Day_of_week</t>
  </si>
  <si>
    <t>1 to 2 hours</t>
  </si>
  <si>
    <t>10 to 30 mins</t>
  </si>
  <si>
    <t>30 to 60 mins</t>
  </si>
  <si>
    <t>More than 2 hours</t>
  </si>
  <si>
    <t>Under 10 mins</t>
  </si>
  <si>
    <t>Duration_Bucket</t>
  </si>
  <si>
    <t>Gender</t>
  </si>
  <si>
    <t>Calls</t>
  </si>
  <si>
    <t>Calls Duration</t>
  </si>
  <si>
    <t>Purchase_Amount</t>
  </si>
  <si>
    <t xml:space="preserve">Purchase Amount </t>
  </si>
  <si>
    <t>Purchase Amount By Customer</t>
  </si>
  <si>
    <t>Purchase Amount By City</t>
  </si>
  <si>
    <t xml:space="preserve"> Calls Per Month</t>
  </si>
  <si>
    <t>Calls Pey Day</t>
  </si>
  <si>
    <t>Calls By Duration Bucket</t>
  </si>
  <si>
    <t>Rating</t>
  </si>
  <si>
    <t>Purchase Amount And Calls Per Month</t>
  </si>
  <si>
    <t>Calls Rating By Representative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</si>
</sst>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409]d\-mmm\-yy;@"/>
    <numFmt numFmtId="165" formatCode="_-* #,##0_-;\-* #,##0_-;_-* &quot;-&quot;??_-;_-@_-"/>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2"/>
      <color theme="0"/>
      <name val="Aptos"/>
      <family val="2"/>
      <scheme val="minor"/>
    </font>
  </fonts>
  <fills count="5">
    <fill>
      <patternFill patternType="none"/>
    </fill>
    <fill>
      <patternFill patternType="gray125"/>
    </fill>
    <fill>
      <patternFill patternType="solid">
        <fgColor theme="7"/>
        <bgColor indexed="64"/>
      </patternFill>
    </fill>
    <fill>
      <patternFill patternType="solid">
        <fgColor theme="8" tint="-0.499984740745262"/>
        <bgColor indexed="64"/>
      </patternFill>
    </fill>
    <fill>
      <patternFill patternType="solid">
        <fgColor rgb="FFD1D8BE"/>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7">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4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4" borderId="0" xfId="0" applyFill="1"/>
    <xf numFmtId="2" fontId="0" fillId="0" borderId="0" xfId="0" applyNumberFormat="1"/>
    <xf numFmtId="0" fontId="4" fillId="3" borderId="0" xfId="0" applyFont="1" applyFill="1" applyAlignment="1">
      <alignment horizontal="center" vertical="center"/>
    </xf>
  </cellXfs>
  <cellStyles count="1">
    <cellStyle name="Normal" xfId="0" builtinId="0"/>
  </cellStyles>
  <dxfs count="570">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165" formatCode="_-* #,##0_-;\-* #,##0_-;_-* &quot;-&quot;??_-;_-@_-"/>
    </dxf>
    <dxf>
      <numFmt numFmtId="165" formatCode="_-* #,##0_-;\-* #,##0_-;_-* &quot;-&quot;??_-;_-@_-"/>
    </dxf>
    <dxf>
      <numFmt numFmtId="14" formatCode="0.00%"/>
    </dxf>
    <dxf>
      <numFmt numFmtId="13" formatCode="0%"/>
    </dxf>
    <dxf>
      <numFmt numFmtId="165" formatCode="_-* #,##0_-;\-* #,##0_-;_-* &quot;-&quot;??_-;_-@_-"/>
    </dxf>
    <dxf>
      <numFmt numFmtId="35" formatCode="_-* #,##0.00_-;\-* #,##0.0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165" formatCode="_-* #,##0_-;\-* #,##0_-;_-* &quot;-&quot;??_-;_-@_-"/>
    </dxf>
    <dxf>
      <numFmt numFmtId="35" formatCode="_-* #,##0.00_-;\-* #,##0.0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165" formatCode="_-* #,##0_-;\-* #,##0_-;_-* &quot;-&quot;??_-;_-@_-"/>
    </dxf>
    <dxf>
      <numFmt numFmtId="35" formatCode="_-* #,##0.00_-;\-* #,##0.0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165" formatCode="_-* #,##0_-;\-* #,##0_-;_-* &quot;-&quot;??_-;_-@_-"/>
    </dxf>
    <dxf>
      <numFmt numFmtId="35" formatCode="_-* #,##0.00_-;\-* #,##0.0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165" formatCode="_-* #,##0_-;\-* #,##0_-;_-* &quot;-&quot;??_-;_-@_-"/>
    </dxf>
    <dxf>
      <numFmt numFmtId="35" formatCode="_-* #,##0.00_-;\-* #,##0.0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165" formatCode="_-* #,##0_-;\-* #,##0_-;_-* &quot;-&quot;??_-;_-@_-"/>
    </dxf>
    <dxf>
      <numFmt numFmtId="35" formatCode="_-* #,##0.00_-;\-* #,##0.0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165" formatCode="_-* #,##0_-;\-* #,##0_-;_-* &quot;-&quot;??_-;_-@_-"/>
    </dxf>
    <dxf>
      <numFmt numFmtId="35" formatCode="_-* #,##0.00_-;\-* #,##0.0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165" formatCode="_-* #,##0_-;\-* #,##0_-;_-* &quot;-&quot;??_-;_-@_-"/>
    </dxf>
    <dxf>
      <numFmt numFmtId="35" formatCode="_-* #,##0.00_-;\-* #,##0.0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165" formatCode="_-* #,##0_-;\-* #,##0_-;_-* &quot;-&quot;??_-;_-@_-"/>
    </dxf>
    <dxf>
      <numFmt numFmtId="35" formatCode="_-* #,##0.00_-;\-* #,##0.0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165" formatCode="_-* #,##0_-;\-* #,##0_-;_-* &quot;-&quot;??_-;_-@_-"/>
    </dxf>
    <dxf>
      <numFmt numFmtId="35" formatCode="_-* #,##0.00_-;\-* #,##0.0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165" formatCode="_-* #,##0_-;\-* #,##0_-;_-* &quot;-&quot;??_-;_-@_-"/>
    </dxf>
    <dxf>
      <numFmt numFmtId="35" formatCode="_-* #,##0.00_-;\-* #,##0.0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165" formatCode="_-* #,##0_-;\-* #,##0_-;_-* &quot;-&quot;??_-;_-@_-"/>
    </dxf>
    <dxf>
      <numFmt numFmtId="35" formatCode="_-* #,##0.00_-;\-* #,##0.0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165" formatCode="_-* #,##0_-;\-* #,##0_-;_-* &quot;-&quot;??_-;_-@_-"/>
    </dxf>
    <dxf>
      <numFmt numFmtId="35" formatCode="_-* #,##0.00_-;\-* #,##0.00_-;_-* &quot;-&quot;??_-;_-@_-"/>
    </dxf>
    <dxf>
      <numFmt numFmtId="2"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4" formatCode="0.00%"/>
    </dxf>
    <dxf>
      <numFmt numFmtId="13" formatCode="0%"/>
    </dxf>
    <dxf>
      <numFmt numFmtId="165" formatCode="_-* #,##0_-;\-* #,##0_-;_-* &quot;-&quot;??_-;_-@_-"/>
    </dxf>
    <dxf>
      <numFmt numFmtId="35" formatCode="_-* #,##0.00_-;\-* #,##0.00_-;_-* &quot;-&quot;??_-;_-@_-"/>
    </dxf>
    <dxf>
      <numFmt numFmtId="2" formatCode="0.00"/>
    </dxf>
    <dxf>
      <numFmt numFmtId="165" formatCode="_-* #,##0_-;\-* #,##0_-;_-* &quot;-&quot;??_-;_-@_-"/>
    </dxf>
    <dxf>
      <numFmt numFmtId="165" formatCode="_-* #,##0_-;\-* #,##0_-;_-* &quot;-&quot;??_-;_-@_-"/>
    </dxf>
    <dxf>
      <numFmt numFmtId="13" formatCode="0%"/>
    </dxf>
    <dxf>
      <numFmt numFmtId="14" formatCode="0.00%"/>
    </dxf>
    <dxf>
      <font>
        <color rgb="FF006100"/>
      </font>
      <fill>
        <patternFill>
          <bgColor rgb="FFC6EFCE"/>
        </patternFill>
      </fill>
    </dxf>
    <dxf>
      <font>
        <color rgb="FF006100"/>
      </font>
      <fill>
        <patternFill>
          <bgColor rgb="FFC6EFCE"/>
        </patternFill>
      </fill>
    </dxf>
    <dxf>
      <numFmt numFmtId="35" formatCode="_-* #,##0.00_-;\-* #,##0.00_-;_-* &quot;-&quot;??_-;_-@_-"/>
    </dxf>
    <dxf>
      <numFmt numFmtId="165" formatCode="_-* #,##0_-;\-* #,##0_-;_-* &quot;-&quot;??_-;_-@_-"/>
    </dxf>
    <dxf>
      <numFmt numFmtId="165" formatCode="_-* #,##0_-;\-* #,##0_-;_-* &quot;-&quot;??_-;_-@_-"/>
    </dxf>
    <dxf>
      <numFmt numFmtId="165" formatCode="_-* #,##0_-;\-* #,##0_-;_-* &quot;-&quot;??_-;_-@_-"/>
    </dxf>
    <dxf>
      <numFmt numFmtId="165" formatCode="_-* #,##0_-;\-* #,##0_-;_-* &quot;-&quot;??_-;_-@_-"/>
    </dxf>
    <dxf>
      <numFmt numFmtId="2" formatCode="0.00"/>
    </dxf>
    <dxf>
      <numFmt numFmtId="35" formatCode="_-* #,##0.00_-;\-* #,##0.0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dxf>
    <dxf>
      <numFmt numFmtId="0" formatCode="General"/>
    </dxf>
    <dxf>
      <numFmt numFmtId="0" formatCode="General"/>
    </dxf>
    <dxf>
      <font>
        <b/>
        <color theme="1"/>
      </font>
      <border>
        <bottom style="thin">
          <color theme="8"/>
        </bottom>
        <vertical/>
        <horizontal/>
      </border>
    </dxf>
    <dxf>
      <font>
        <color theme="1"/>
      </font>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569"/>
    </tableStyle>
    <tableStyle name="SlicerStyleDark5 2" pivot="0" table="0" count="10" xr9:uid="{56CE8539-80D0-48AD-B29B-27F467965069}">
      <tableStyleElement type="wholeTable" dxfId="568"/>
      <tableStyleElement type="headerRow" dxfId="567"/>
    </tableStyle>
  </tableStyles>
  <colors>
    <mruColors>
      <color rgb="FF2C3930"/>
      <color rgb="FF706D54"/>
      <color rgb="FFA7C1A8"/>
      <color rgb="FF819A91"/>
      <color rgb="FF3F4F44"/>
      <color rgb="FF66785F"/>
      <color rgb="FFEEEFE0"/>
      <color rgb="FFD1D8BE"/>
      <color rgb="FFF9F8F6"/>
      <color rgb="FFEFE9E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Data.xlsx]pivot Table!Purchase Amount And Calls Per Month</c:name>
    <c:fmtId val="2"/>
  </c:pivotSource>
  <c:chart>
    <c:title>
      <c:tx>
        <c:rich>
          <a:bodyPr rot="0" spcFirstLastPara="1" vertOverflow="ellipsis" vert="horz" wrap="square" anchor="ctr" anchorCtr="1"/>
          <a:lstStyle/>
          <a:p>
            <a:pPr>
              <a:defRPr sz="1400" b="1" i="0" u="none" strike="noStrike" kern="1200" spc="0" baseline="0">
                <a:solidFill>
                  <a:srgbClr val="66785F"/>
                </a:solidFill>
                <a:latin typeface="+mn-lt"/>
                <a:ea typeface="+mn-ea"/>
                <a:cs typeface="+mn-cs"/>
              </a:defRPr>
            </a:pPr>
            <a:r>
              <a:rPr lang="en-US" b="1">
                <a:solidFill>
                  <a:srgbClr val="66785F"/>
                </a:solidFill>
              </a:rPr>
              <a:t>Purchase Amount And Calls Per Month</a:t>
            </a:r>
          </a:p>
        </c:rich>
      </c:tx>
      <c:layout>
        <c:manualLayout>
          <c:xMode val="edge"/>
          <c:yMode val="edge"/>
          <c:x val="0.24109066072485455"/>
          <c:y val="4.444518294986840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66785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A7C1A8"/>
              </a:gs>
              <a:gs pos="100000">
                <a:srgbClr val="706D54"/>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2C393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0198396917558"/>
          <c:y val="0.16521294838145234"/>
          <c:w val="0.82465035304930323"/>
          <c:h val="0.6694687664041995"/>
        </c:manualLayout>
      </c:layout>
      <c:barChart>
        <c:barDir val="col"/>
        <c:grouping val="clustered"/>
        <c:varyColors val="0"/>
        <c:ser>
          <c:idx val="0"/>
          <c:order val="0"/>
          <c:tx>
            <c:strRef>
              <c:f>'pivot Table'!$C$9</c:f>
              <c:strCache>
                <c:ptCount val="1"/>
                <c:pt idx="0">
                  <c:v>Total Purchase Amount</c:v>
                </c:pt>
              </c:strCache>
            </c:strRef>
          </c:tx>
          <c:spPr>
            <a:gradFill>
              <a:gsLst>
                <a:gs pos="0">
                  <a:srgbClr val="A7C1A8"/>
                </a:gs>
                <a:gs pos="100000">
                  <a:srgbClr val="706D54"/>
                </a:gs>
              </a:gsLst>
              <a:lin ang="5400000" scaled="1"/>
            </a:gradFill>
            <a:ln>
              <a:noFill/>
            </a:ln>
            <a:effectLst/>
          </c:spPr>
          <c:invertIfNegative val="0"/>
          <c:cat>
            <c:strRef>
              <c:f>'pivot Table'!$B$10:$B$22</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Table'!$C$10:$C$22</c:f>
              <c:numCache>
                <c:formatCode>_-* #,##0_-;\-* #,##0_-;_-* "-"??_-;_-@_-</c:formatCode>
                <c:ptCount val="12"/>
                <c:pt idx="0">
                  <c:v>7790</c:v>
                </c:pt>
                <c:pt idx="1">
                  <c:v>6122</c:v>
                </c:pt>
                <c:pt idx="2">
                  <c:v>14563</c:v>
                </c:pt>
                <c:pt idx="3">
                  <c:v>13536</c:v>
                </c:pt>
                <c:pt idx="4">
                  <c:v>8171</c:v>
                </c:pt>
                <c:pt idx="5">
                  <c:v>5893</c:v>
                </c:pt>
                <c:pt idx="6">
                  <c:v>6007</c:v>
                </c:pt>
                <c:pt idx="7">
                  <c:v>4950</c:v>
                </c:pt>
                <c:pt idx="8">
                  <c:v>6689</c:v>
                </c:pt>
                <c:pt idx="9">
                  <c:v>10875</c:v>
                </c:pt>
                <c:pt idx="10">
                  <c:v>6775</c:v>
                </c:pt>
                <c:pt idx="11">
                  <c:v>5252</c:v>
                </c:pt>
              </c:numCache>
            </c:numRef>
          </c:val>
          <c:extLst>
            <c:ext xmlns:c16="http://schemas.microsoft.com/office/drawing/2014/chart" uri="{C3380CC4-5D6E-409C-BE32-E72D297353CC}">
              <c16:uniqueId val="{00000000-6F2C-4D1B-8793-34C5718994B8}"/>
            </c:ext>
          </c:extLst>
        </c:ser>
        <c:dLbls>
          <c:showLegendKey val="0"/>
          <c:showVal val="0"/>
          <c:showCatName val="0"/>
          <c:showSerName val="0"/>
          <c:showPercent val="0"/>
          <c:showBubbleSize val="0"/>
        </c:dLbls>
        <c:gapWidth val="100"/>
        <c:overlap val="-27"/>
        <c:axId val="828960880"/>
        <c:axId val="828946000"/>
      </c:barChart>
      <c:lineChart>
        <c:grouping val="standard"/>
        <c:varyColors val="0"/>
        <c:ser>
          <c:idx val="1"/>
          <c:order val="1"/>
          <c:tx>
            <c:strRef>
              <c:f>'pivot Table'!$D$9</c:f>
              <c:strCache>
                <c:ptCount val="1"/>
                <c:pt idx="0">
                  <c:v>Total Calls</c:v>
                </c:pt>
              </c:strCache>
            </c:strRef>
          </c:tx>
          <c:spPr>
            <a:ln w="28575" cap="rnd">
              <a:solidFill>
                <a:srgbClr val="2C3930"/>
              </a:solidFill>
              <a:round/>
            </a:ln>
            <a:effectLst/>
          </c:spPr>
          <c:marker>
            <c:symbol val="none"/>
          </c:marker>
          <c:cat>
            <c:strRef>
              <c:f>'pivot Table'!$B$10:$B$22</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Table'!$D$10:$D$22</c:f>
              <c:numCache>
                <c:formatCode>_-* #,##0_-;\-* #,##0_-;_-* "-"??_-;_-@_-</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6F2C-4D1B-8793-34C5718994B8}"/>
            </c:ext>
          </c:extLst>
        </c:ser>
        <c:dLbls>
          <c:showLegendKey val="0"/>
          <c:showVal val="0"/>
          <c:showCatName val="0"/>
          <c:showSerName val="0"/>
          <c:showPercent val="0"/>
          <c:showBubbleSize val="0"/>
        </c:dLbls>
        <c:marker val="1"/>
        <c:smooth val="0"/>
        <c:axId val="828957520"/>
        <c:axId val="828962800"/>
      </c:lineChart>
      <c:catAx>
        <c:axId val="82896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66785F"/>
                </a:solidFill>
                <a:latin typeface="+mn-lt"/>
                <a:ea typeface="+mn-ea"/>
                <a:cs typeface="+mn-cs"/>
              </a:defRPr>
            </a:pPr>
            <a:endParaRPr lang="en-US"/>
          </a:p>
        </c:txPr>
        <c:crossAx val="828946000"/>
        <c:crosses val="autoZero"/>
        <c:auto val="1"/>
        <c:lblAlgn val="ctr"/>
        <c:lblOffset val="100"/>
        <c:noMultiLvlLbl val="0"/>
      </c:catAx>
      <c:valAx>
        <c:axId val="828946000"/>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6785F"/>
                </a:solidFill>
                <a:latin typeface="+mn-lt"/>
                <a:ea typeface="+mn-ea"/>
                <a:cs typeface="+mn-cs"/>
              </a:defRPr>
            </a:pPr>
            <a:endParaRPr lang="en-US"/>
          </a:p>
        </c:txPr>
        <c:crossAx val="828960880"/>
        <c:crosses val="autoZero"/>
        <c:crossBetween val="between"/>
      </c:valAx>
      <c:valAx>
        <c:axId val="828962800"/>
        <c:scaling>
          <c:orientation val="minMax"/>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6785F"/>
                </a:solidFill>
                <a:latin typeface="+mn-lt"/>
                <a:ea typeface="+mn-ea"/>
                <a:cs typeface="+mn-cs"/>
              </a:defRPr>
            </a:pPr>
            <a:endParaRPr lang="en-US"/>
          </a:p>
        </c:txPr>
        <c:crossAx val="828957520"/>
        <c:crosses val="max"/>
        <c:crossBetween val="between"/>
      </c:valAx>
      <c:catAx>
        <c:axId val="828957520"/>
        <c:scaling>
          <c:orientation val="minMax"/>
        </c:scaling>
        <c:delete val="1"/>
        <c:axPos val="b"/>
        <c:numFmt formatCode="General" sourceLinked="1"/>
        <c:majorTickMark val="out"/>
        <c:minorTickMark val="none"/>
        <c:tickLblPos val="nextTo"/>
        <c:crossAx val="828962800"/>
        <c:crosses val="autoZero"/>
        <c:auto val="1"/>
        <c:lblAlgn val="ctr"/>
        <c:lblOffset val="100"/>
        <c:noMultiLvlLbl val="0"/>
      </c:catAx>
      <c:spPr>
        <a:noFill/>
        <a:ln>
          <a:noFill/>
        </a:ln>
        <a:effectLst/>
      </c:spPr>
    </c:plotArea>
    <c:legend>
      <c:legendPos val="t"/>
      <c:legendEntry>
        <c:idx val="0"/>
        <c:txPr>
          <a:bodyPr rot="0" spcFirstLastPara="1" vertOverflow="ellipsis" vert="horz" wrap="square" anchor="ctr" anchorCtr="1"/>
          <a:lstStyle/>
          <a:p>
            <a:pPr>
              <a:defRPr sz="1000" b="1" i="0" u="none" strike="noStrike" kern="1200" baseline="0">
                <a:solidFill>
                  <a:srgbClr val="706D54"/>
                </a:solidFill>
                <a:latin typeface="+mn-lt"/>
                <a:ea typeface="+mn-ea"/>
                <a:cs typeface="+mn-cs"/>
              </a:defRPr>
            </a:pPr>
            <a:endParaRPr lang="en-US"/>
          </a:p>
        </c:txPr>
      </c:legendEntry>
      <c:legendEntry>
        <c:idx val="1"/>
        <c:txPr>
          <a:bodyPr rot="0" spcFirstLastPara="1" vertOverflow="ellipsis" vert="horz" wrap="square" anchor="ctr" anchorCtr="1"/>
          <a:lstStyle/>
          <a:p>
            <a:pPr>
              <a:defRPr sz="1000" b="1" i="0" u="none" strike="noStrike" kern="1200" baseline="0">
                <a:solidFill>
                  <a:srgbClr val="2C3930"/>
                </a:solidFill>
                <a:latin typeface="+mn-lt"/>
                <a:ea typeface="+mn-ea"/>
                <a:cs typeface="+mn-cs"/>
              </a:defRPr>
            </a:pPr>
            <a:endParaRPr lang="en-US"/>
          </a:p>
        </c:txPr>
      </c:legendEntry>
      <c:layout>
        <c:manualLayout>
          <c:xMode val="edge"/>
          <c:yMode val="edge"/>
          <c:x val="0.27001220485421912"/>
          <c:y val="8.4844279308209855E-2"/>
          <c:w val="0.43896739955511843"/>
          <c:h val="8.2956514954373603E-2"/>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66785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[Call Center Data.xlsx]pivot Table!Calls By Representative</c:name>
    <c:fmtId val="2"/>
  </c:pivotSource>
  <c:chart>
    <c:title>
      <c:tx>
        <c:rich>
          <a:bodyPr rot="0" spcFirstLastPara="1" vertOverflow="ellipsis" vert="horz" wrap="square" anchor="ctr" anchorCtr="1"/>
          <a:lstStyle/>
          <a:p>
            <a:pPr>
              <a:defRPr sz="1400" b="1" i="0" u="none" strike="noStrike" kern="1200" spc="0" baseline="0">
                <a:solidFill>
                  <a:srgbClr val="66785F"/>
                </a:solidFill>
                <a:latin typeface="+mn-lt"/>
                <a:ea typeface="+mn-ea"/>
                <a:cs typeface="+mn-cs"/>
              </a:defRPr>
            </a:pPr>
            <a:r>
              <a:rPr lang="en-US"/>
              <a:t>Calls And Rating By Representative</a:t>
            </a:r>
          </a:p>
        </c:rich>
      </c:tx>
      <c:layout>
        <c:manualLayout>
          <c:xMode val="edge"/>
          <c:yMode val="edge"/>
          <c:x val="0.21477961275603344"/>
          <c:y val="1.36089717176717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66785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6D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2C393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6D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2C393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6D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2C393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0">
                <a:srgbClr val="A7C1A8"/>
              </a:gs>
              <a:gs pos="100000">
                <a:srgbClr val="706D54"/>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2C393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0198396917558"/>
          <c:y val="0.16521294838145234"/>
          <c:w val="0.82465035304930323"/>
          <c:h val="0.6694687664041995"/>
        </c:manualLayout>
      </c:layout>
      <c:barChart>
        <c:barDir val="col"/>
        <c:grouping val="clustered"/>
        <c:varyColors val="0"/>
        <c:ser>
          <c:idx val="0"/>
          <c:order val="0"/>
          <c:tx>
            <c:strRef>
              <c:f>'pivot Table'!$L$31</c:f>
              <c:strCache>
                <c:ptCount val="1"/>
                <c:pt idx="0">
                  <c:v>Total Calls</c:v>
                </c:pt>
              </c:strCache>
            </c:strRef>
          </c:tx>
          <c:spPr>
            <a:gradFill>
              <a:gsLst>
                <a:gs pos="0">
                  <a:srgbClr val="A7C1A8"/>
                </a:gs>
                <a:gs pos="100000">
                  <a:srgbClr val="706D54"/>
                </a:gs>
              </a:gsLst>
              <a:lin ang="5400000" scaled="1"/>
            </a:gradFill>
            <a:ln>
              <a:noFill/>
            </a:ln>
            <a:effectLst/>
          </c:spPr>
          <c:invertIfNegative val="0"/>
          <c:cat>
            <c:strRef>
              <c:f>'pivot Table'!$K$32:$K$37</c:f>
              <c:strCache>
                <c:ptCount val="5"/>
                <c:pt idx="0">
                  <c:v>R01</c:v>
                </c:pt>
                <c:pt idx="1">
                  <c:v>R02</c:v>
                </c:pt>
                <c:pt idx="2">
                  <c:v>R03</c:v>
                </c:pt>
                <c:pt idx="3">
                  <c:v>R04</c:v>
                </c:pt>
                <c:pt idx="4">
                  <c:v>R05</c:v>
                </c:pt>
              </c:strCache>
            </c:strRef>
          </c:cat>
          <c:val>
            <c:numRef>
              <c:f>'pivot Table'!$L$32:$L$37</c:f>
              <c:numCache>
                <c:formatCode>_-* #,##0_-;\-* #,##0_-;_-* "-"??_-;_-@_-</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AAE-4872-A53B-E896935CA313}"/>
            </c:ext>
          </c:extLst>
        </c:ser>
        <c:dLbls>
          <c:showLegendKey val="0"/>
          <c:showVal val="0"/>
          <c:showCatName val="0"/>
          <c:showSerName val="0"/>
          <c:showPercent val="0"/>
          <c:showBubbleSize val="0"/>
        </c:dLbls>
        <c:gapWidth val="150"/>
        <c:overlap val="-27"/>
        <c:axId val="828960880"/>
        <c:axId val="828946000"/>
      </c:barChart>
      <c:lineChart>
        <c:grouping val="standard"/>
        <c:varyColors val="0"/>
        <c:ser>
          <c:idx val="1"/>
          <c:order val="1"/>
          <c:tx>
            <c:strRef>
              <c:f>'pivot Table'!$M$31</c:f>
              <c:strCache>
                <c:ptCount val="1"/>
                <c:pt idx="0">
                  <c:v>Rating</c:v>
                </c:pt>
              </c:strCache>
            </c:strRef>
          </c:tx>
          <c:spPr>
            <a:ln w="28575" cap="rnd">
              <a:solidFill>
                <a:srgbClr val="2C3930"/>
              </a:solidFill>
              <a:round/>
            </a:ln>
            <a:effectLst/>
          </c:spPr>
          <c:marker>
            <c:symbol val="none"/>
          </c:marker>
          <c:cat>
            <c:strRef>
              <c:f>'pivot Table'!$K$32:$K$37</c:f>
              <c:strCache>
                <c:ptCount val="5"/>
                <c:pt idx="0">
                  <c:v>R01</c:v>
                </c:pt>
                <c:pt idx="1">
                  <c:v>R02</c:v>
                </c:pt>
                <c:pt idx="2">
                  <c:v>R03</c:v>
                </c:pt>
                <c:pt idx="3">
                  <c:v>R04</c:v>
                </c:pt>
                <c:pt idx="4">
                  <c:v>R05</c:v>
                </c:pt>
              </c:strCache>
            </c:strRef>
          </c:cat>
          <c:val>
            <c:numRef>
              <c:f>'pivot Table'!$M$32:$M$37</c:f>
              <c:numCache>
                <c:formatCode>_(* #,##0.00_);_(* \(#,##0.00\);_(* "-"??_);_(@_)</c:formatCode>
                <c:ptCount val="5"/>
                <c:pt idx="0">
                  <c:v>3.9227513227513247</c:v>
                </c:pt>
                <c:pt idx="1">
                  <c:v>3.8706422018348627</c:v>
                </c:pt>
                <c:pt idx="2">
                  <c:v>3.8589371980676304</c:v>
                </c:pt>
                <c:pt idx="3">
                  <c:v>3.8973118279569863</c:v>
                </c:pt>
                <c:pt idx="4">
                  <c:v>3.8824999999999998</c:v>
                </c:pt>
              </c:numCache>
            </c:numRef>
          </c:val>
          <c:smooth val="0"/>
          <c:extLst>
            <c:ext xmlns:c16="http://schemas.microsoft.com/office/drawing/2014/chart" uri="{C3380CC4-5D6E-409C-BE32-E72D297353CC}">
              <c16:uniqueId val="{00000001-1AAE-4872-A53B-E896935CA313}"/>
            </c:ext>
          </c:extLst>
        </c:ser>
        <c:dLbls>
          <c:showLegendKey val="0"/>
          <c:showVal val="0"/>
          <c:showCatName val="0"/>
          <c:showSerName val="0"/>
          <c:showPercent val="0"/>
          <c:showBubbleSize val="0"/>
        </c:dLbls>
        <c:marker val="1"/>
        <c:smooth val="0"/>
        <c:axId val="828957520"/>
        <c:axId val="828962800"/>
      </c:lineChart>
      <c:catAx>
        <c:axId val="82896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66785F"/>
                </a:solidFill>
                <a:latin typeface="+mn-lt"/>
                <a:ea typeface="+mn-ea"/>
                <a:cs typeface="+mn-cs"/>
              </a:defRPr>
            </a:pPr>
            <a:endParaRPr lang="en-US"/>
          </a:p>
        </c:txPr>
        <c:crossAx val="828946000"/>
        <c:crosses val="autoZero"/>
        <c:auto val="1"/>
        <c:lblAlgn val="ctr"/>
        <c:lblOffset val="100"/>
        <c:noMultiLvlLbl val="0"/>
      </c:catAx>
      <c:valAx>
        <c:axId val="828946000"/>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6785F"/>
                </a:solidFill>
                <a:latin typeface="+mn-lt"/>
                <a:ea typeface="+mn-ea"/>
                <a:cs typeface="+mn-cs"/>
              </a:defRPr>
            </a:pPr>
            <a:endParaRPr lang="en-US"/>
          </a:p>
        </c:txPr>
        <c:crossAx val="828960880"/>
        <c:crosses val="autoZero"/>
        <c:crossBetween val="between"/>
      </c:valAx>
      <c:valAx>
        <c:axId val="828962800"/>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6785F"/>
                </a:solidFill>
                <a:latin typeface="+mn-lt"/>
                <a:ea typeface="+mn-ea"/>
                <a:cs typeface="+mn-cs"/>
              </a:defRPr>
            </a:pPr>
            <a:endParaRPr lang="en-US"/>
          </a:p>
        </c:txPr>
        <c:crossAx val="828957520"/>
        <c:crosses val="max"/>
        <c:crossBetween val="between"/>
      </c:valAx>
      <c:catAx>
        <c:axId val="828957520"/>
        <c:scaling>
          <c:orientation val="minMax"/>
        </c:scaling>
        <c:delete val="1"/>
        <c:axPos val="b"/>
        <c:numFmt formatCode="General" sourceLinked="1"/>
        <c:majorTickMark val="out"/>
        <c:minorTickMark val="none"/>
        <c:tickLblPos val="nextTo"/>
        <c:crossAx val="828962800"/>
        <c:crosses val="autoZero"/>
        <c:auto val="1"/>
        <c:lblAlgn val="ctr"/>
        <c:lblOffset val="100"/>
        <c:noMultiLvlLbl val="0"/>
      </c:catAx>
      <c:spPr>
        <a:noFill/>
        <a:ln>
          <a:noFill/>
        </a:ln>
        <a:effectLst/>
      </c:spPr>
    </c:plotArea>
    <c:legend>
      <c:legendPos val="t"/>
      <c:legendEntry>
        <c:idx val="0"/>
        <c:txPr>
          <a:bodyPr rot="0" spcFirstLastPara="1" vertOverflow="ellipsis" vert="horz" wrap="square" anchor="ctr" anchorCtr="1"/>
          <a:lstStyle/>
          <a:p>
            <a:pPr>
              <a:defRPr sz="1000" b="1" i="0" u="none" strike="noStrike" kern="1200" baseline="0">
                <a:solidFill>
                  <a:srgbClr val="706D54"/>
                </a:solidFill>
                <a:latin typeface="+mn-lt"/>
                <a:ea typeface="+mn-ea"/>
                <a:cs typeface="+mn-cs"/>
              </a:defRPr>
            </a:pPr>
            <a:endParaRPr lang="en-US"/>
          </a:p>
        </c:txPr>
      </c:legendEntry>
      <c:legendEntry>
        <c:idx val="1"/>
        <c:txPr>
          <a:bodyPr rot="0" spcFirstLastPara="1" vertOverflow="ellipsis" vert="horz" wrap="square" anchor="ctr" anchorCtr="1"/>
          <a:lstStyle/>
          <a:p>
            <a:pPr>
              <a:defRPr sz="1000" b="1" i="0" u="none" strike="noStrike" kern="1200" baseline="0">
                <a:solidFill>
                  <a:srgbClr val="2C3930"/>
                </a:solidFill>
                <a:latin typeface="+mn-lt"/>
                <a:ea typeface="+mn-ea"/>
                <a:cs typeface="+mn-cs"/>
              </a:defRPr>
            </a:pPr>
            <a:endParaRPr lang="en-US"/>
          </a:p>
        </c:txPr>
      </c:legendEntry>
      <c:layout>
        <c:manualLayout>
          <c:xMode val="edge"/>
          <c:yMode val="edge"/>
          <c:x val="0.28688021851641204"/>
          <c:y val="9.400899278888307E-2"/>
          <c:w val="0.3993704964887716"/>
          <c:h val="8.0368503937007868E-2"/>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66785F"/>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[Call Center Data.xlsx]pivot Table!Calls Pey Day</c:name>
    <c:fmtId val="2"/>
  </c:pivotSource>
  <c:chart>
    <c:title>
      <c:tx>
        <c:rich>
          <a:bodyPr rot="0" spcFirstLastPara="1" vertOverflow="ellipsis" vert="horz" wrap="square" anchor="ctr" anchorCtr="1"/>
          <a:lstStyle/>
          <a:p>
            <a:pPr>
              <a:defRPr sz="1400" b="1" i="0" u="none" strike="noStrike" kern="1200" spc="0" baseline="0">
                <a:solidFill>
                  <a:srgbClr val="66785F"/>
                </a:solidFill>
                <a:latin typeface="+mn-lt"/>
                <a:ea typeface="+mn-ea"/>
                <a:cs typeface="+mn-cs"/>
              </a:defRPr>
            </a:pPr>
            <a:r>
              <a:rPr lang="en-US"/>
              <a:t>Calls Per Day</a:t>
            </a:r>
          </a:p>
        </c:rich>
      </c:tx>
      <c:layout>
        <c:manualLayout>
          <c:xMode val="edge"/>
          <c:yMode val="edge"/>
          <c:x val="0.33261083499314359"/>
          <c:y val="3.22222104760095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66785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6D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2C393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6D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06D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rgbClr val="A7C1A8"/>
              </a:gs>
              <a:gs pos="100000">
                <a:srgbClr val="706D54"/>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C39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0198396917558"/>
          <c:y val="0.16521294838145234"/>
          <c:w val="0.82465035304930323"/>
          <c:h val="0.6694687664041995"/>
        </c:manualLayout>
      </c:layout>
      <c:barChart>
        <c:barDir val="col"/>
        <c:grouping val="clustered"/>
        <c:varyColors val="0"/>
        <c:ser>
          <c:idx val="0"/>
          <c:order val="0"/>
          <c:tx>
            <c:strRef>
              <c:f>'pivot Table'!$F$31</c:f>
              <c:strCache>
                <c:ptCount val="1"/>
                <c:pt idx="0">
                  <c:v>Total</c:v>
                </c:pt>
              </c:strCache>
            </c:strRef>
          </c:tx>
          <c:spPr>
            <a:gradFill>
              <a:gsLst>
                <a:gs pos="0">
                  <a:srgbClr val="A7C1A8"/>
                </a:gs>
                <a:gs pos="100000">
                  <a:srgbClr val="706D54"/>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C393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Table'!$E$32:$E$39</c:f>
              <c:strCache>
                <c:ptCount val="7"/>
                <c:pt idx="0">
                  <c:v>السبت</c:v>
                </c:pt>
                <c:pt idx="1">
                  <c:v>الأربعاء</c:v>
                </c:pt>
                <c:pt idx="2">
                  <c:v>الأحد</c:v>
                </c:pt>
                <c:pt idx="3">
                  <c:v>الجمعة</c:v>
                </c:pt>
                <c:pt idx="4">
                  <c:v>الثلاثاء</c:v>
                </c:pt>
                <c:pt idx="5">
                  <c:v>الإثنين</c:v>
                </c:pt>
                <c:pt idx="6">
                  <c:v>الخميس</c:v>
                </c:pt>
              </c:strCache>
            </c:strRef>
          </c:cat>
          <c:val>
            <c:numRef>
              <c:f>'pivot Table'!$F$32:$F$39</c:f>
              <c:numCache>
                <c:formatCode>_-* #,##0_-;\-* #,##0_-;_-* "-"??_-;_-@_-</c:formatCode>
                <c:ptCount val="7"/>
                <c:pt idx="0">
                  <c:v>161</c:v>
                </c:pt>
                <c:pt idx="1">
                  <c:v>153</c:v>
                </c:pt>
                <c:pt idx="2">
                  <c:v>146</c:v>
                </c:pt>
                <c:pt idx="3">
                  <c:v>141</c:v>
                </c:pt>
                <c:pt idx="4">
                  <c:v>138</c:v>
                </c:pt>
                <c:pt idx="5">
                  <c:v>133</c:v>
                </c:pt>
                <c:pt idx="6">
                  <c:v>128</c:v>
                </c:pt>
              </c:numCache>
            </c:numRef>
          </c:val>
          <c:extLst>
            <c:ext xmlns:c16="http://schemas.microsoft.com/office/drawing/2014/chart" uri="{C3380CC4-5D6E-409C-BE32-E72D297353CC}">
              <c16:uniqueId val="{00000000-9A0A-4A89-A757-E39C4181B7FC}"/>
            </c:ext>
          </c:extLst>
        </c:ser>
        <c:dLbls>
          <c:dLblPos val="outEnd"/>
          <c:showLegendKey val="0"/>
          <c:showVal val="1"/>
          <c:showCatName val="0"/>
          <c:showSerName val="0"/>
          <c:showPercent val="0"/>
          <c:showBubbleSize val="0"/>
        </c:dLbls>
        <c:gapWidth val="100"/>
        <c:overlap val="-27"/>
        <c:axId val="828960880"/>
        <c:axId val="828946000"/>
      </c:barChart>
      <c:catAx>
        <c:axId val="82896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66785F"/>
                </a:solidFill>
                <a:latin typeface="+mn-lt"/>
                <a:ea typeface="+mn-ea"/>
                <a:cs typeface="+mn-cs"/>
              </a:defRPr>
            </a:pPr>
            <a:endParaRPr lang="en-US"/>
          </a:p>
        </c:txPr>
        <c:crossAx val="828946000"/>
        <c:crosses val="autoZero"/>
        <c:auto val="1"/>
        <c:lblAlgn val="ctr"/>
        <c:lblOffset val="100"/>
        <c:noMultiLvlLbl val="0"/>
      </c:catAx>
      <c:valAx>
        <c:axId val="828946000"/>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6785F"/>
                </a:solidFill>
                <a:latin typeface="+mn-lt"/>
                <a:ea typeface="+mn-ea"/>
                <a:cs typeface="+mn-cs"/>
              </a:defRPr>
            </a:pPr>
            <a:endParaRPr lang="en-US"/>
          </a:p>
        </c:txPr>
        <c:crossAx val="828960880"/>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[Call Center Data.xlsx]pivot Table!Purchase Amount By City</c:name>
    <c:fmtId val="2"/>
  </c:pivotSource>
  <c:chart>
    <c:title>
      <c:tx>
        <c:rich>
          <a:bodyPr rot="0" spcFirstLastPara="1" vertOverflow="ellipsis" vert="horz" wrap="square" anchor="ctr" anchorCtr="1"/>
          <a:lstStyle/>
          <a:p>
            <a:pPr algn="ctr" rtl="0">
              <a:defRPr lang="en-US" sz="1400" b="1" i="0" u="none" strike="noStrike" kern="1200" spc="0" baseline="0">
                <a:solidFill>
                  <a:srgbClr val="66785F"/>
                </a:solidFill>
                <a:latin typeface="+mn-lt"/>
                <a:ea typeface="+mn-ea"/>
                <a:cs typeface="+mn-cs"/>
              </a:defRPr>
            </a:pPr>
            <a:r>
              <a:rPr lang="en-US" sz="1400" b="1" i="0" u="none" strike="noStrike" kern="1200" spc="0" baseline="0">
                <a:solidFill>
                  <a:srgbClr val="66785F"/>
                </a:solidFill>
                <a:latin typeface="+mn-lt"/>
                <a:ea typeface="+mn-ea"/>
                <a:cs typeface="+mn-cs"/>
              </a:rPr>
              <a:t>Purchase Amount By City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66785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dLbl>
          <c:idx val="0"/>
          <c:layout>
            <c:manualLayout>
              <c:x val="3.015075376884422E-2"/>
              <c:y val="-0.1212121212121212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C00000"/>
          </a:solidFill>
          <a:ln w="19050">
            <a:solidFill>
              <a:schemeClr val="lt1"/>
            </a:solidFill>
          </a:ln>
          <a:effectLst/>
        </c:spPr>
        <c:dLbl>
          <c:idx val="0"/>
          <c:layout>
            <c:manualLayout>
              <c:x val="9.380234505862646E-2"/>
              <c:y val="2.7548209366391185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9.0452261306532666E-2"/>
              <c:y val="-5.5096418732782419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2">
              <a:lumMod val="40000"/>
              <a:lumOff val="60000"/>
            </a:schemeClr>
          </a:solidFill>
          <a:ln w="19050">
            <a:solidFill>
              <a:schemeClr val="lt1"/>
            </a:solidFill>
          </a:ln>
          <a:effectLst/>
        </c:spPr>
        <c:dLbl>
          <c:idx val="0"/>
          <c:layout>
            <c:manualLayout>
              <c:x val="3.015075376884422E-2"/>
              <c:y val="-0.1212121212121212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rgbClr val="C00000"/>
          </a:solidFill>
          <a:ln w="19050">
            <a:solidFill>
              <a:schemeClr val="lt1"/>
            </a:solidFill>
          </a:ln>
          <a:effectLst/>
        </c:spPr>
        <c:dLbl>
          <c:idx val="0"/>
          <c:layout>
            <c:manualLayout>
              <c:x val="9.380234505862646E-2"/>
              <c:y val="2.7548209366391185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2"/>
          </a:solidFill>
          <a:ln w="19050">
            <a:solidFill>
              <a:schemeClr val="lt1"/>
            </a:solidFill>
          </a:ln>
          <a:effectLst/>
        </c:spPr>
        <c:dLbl>
          <c:idx val="0"/>
          <c:layout>
            <c:manualLayout>
              <c:x val="-9.0452261306532666E-2"/>
              <c:y val="-5.5096418732782419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2">
              <a:lumMod val="40000"/>
              <a:lumOff val="60000"/>
            </a:schemeClr>
          </a:solidFill>
          <a:ln w="19050">
            <a:solidFill>
              <a:schemeClr val="lt1"/>
            </a:solidFill>
          </a:ln>
          <a:effectLst/>
        </c:spPr>
        <c:dLbl>
          <c:idx val="0"/>
          <c:layout>
            <c:manualLayout>
              <c:x val="3.015075376884422E-2"/>
              <c:y val="-0.1212121212121212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rgbClr val="C00000"/>
          </a:solidFill>
          <a:ln w="19050">
            <a:solidFill>
              <a:schemeClr val="lt1"/>
            </a:solidFill>
          </a:ln>
          <a:effectLst/>
        </c:spPr>
        <c:dLbl>
          <c:idx val="0"/>
          <c:layout>
            <c:manualLayout>
              <c:x val="9.380234505862646E-2"/>
              <c:y val="2.7548209366391185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chemeClr val="accent2"/>
          </a:solidFill>
          <a:ln w="19050">
            <a:solidFill>
              <a:schemeClr val="lt1"/>
            </a:solidFill>
          </a:ln>
          <a:effectLst/>
        </c:spPr>
        <c:dLbl>
          <c:idx val="0"/>
          <c:layout>
            <c:manualLayout>
              <c:x val="-9.0452261306532666E-2"/>
              <c:y val="-5.5096418732782419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chemeClr val="accent2">
              <a:lumMod val="40000"/>
              <a:lumOff val="60000"/>
            </a:schemeClr>
          </a:solidFill>
          <a:ln w="19050">
            <a:solidFill>
              <a:schemeClr val="lt1"/>
            </a:solidFill>
          </a:ln>
          <a:effectLst/>
        </c:spPr>
        <c:dLbl>
          <c:idx val="0"/>
          <c:layout>
            <c:manualLayout>
              <c:x val="3.015075376884422E-2"/>
              <c:y val="-0.1212121212121212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rgbClr val="C00000"/>
          </a:solidFill>
          <a:ln w="19050">
            <a:solidFill>
              <a:schemeClr val="lt1"/>
            </a:solidFill>
          </a:ln>
          <a:effectLst/>
        </c:spPr>
        <c:dLbl>
          <c:idx val="0"/>
          <c:layout>
            <c:manualLayout>
              <c:x val="9.380234505862646E-2"/>
              <c:y val="2.7548209366391185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solidFill>
            <a:schemeClr val="accent2"/>
          </a:solidFill>
          <a:ln w="19050">
            <a:solidFill>
              <a:schemeClr val="lt1"/>
            </a:solidFill>
          </a:ln>
          <a:effectLst/>
        </c:spPr>
        <c:dLbl>
          <c:idx val="0"/>
          <c:layout>
            <c:manualLayout>
              <c:x val="-9.0452261306532666E-2"/>
              <c:y val="-5.5096418732782419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spPr>
          <a:solidFill>
            <a:schemeClr val="accent2">
              <a:lumMod val="40000"/>
              <a:lumOff val="60000"/>
            </a:schemeClr>
          </a:solidFill>
          <a:ln w="19050">
            <a:solidFill>
              <a:schemeClr val="lt1"/>
            </a:solidFill>
          </a:ln>
          <a:effectLst/>
        </c:spPr>
        <c:dLbl>
          <c:idx val="0"/>
          <c:layout>
            <c:manualLayout>
              <c:x val="3.015075376884422E-2"/>
              <c:y val="-0.1212121212121212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3"/>
        <c:spPr>
          <a:solidFill>
            <a:srgbClr val="C00000"/>
          </a:solidFill>
          <a:ln w="19050">
            <a:solidFill>
              <a:schemeClr val="lt1"/>
            </a:solidFill>
          </a:ln>
          <a:effectLst/>
        </c:spPr>
        <c:dLbl>
          <c:idx val="0"/>
          <c:layout>
            <c:manualLayout>
              <c:x val="9.380234505862646E-2"/>
              <c:y val="2.7548209366391185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4"/>
        <c:spPr>
          <a:solidFill>
            <a:schemeClr val="accent2"/>
          </a:solidFill>
          <a:ln w="19050">
            <a:solidFill>
              <a:schemeClr val="lt1"/>
            </a:solidFill>
          </a:ln>
          <a:effectLst/>
        </c:spPr>
        <c:dLbl>
          <c:idx val="0"/>
          <c:layout>
            <c:manualLayout>
              <c:x val="-9.0452261306532666E-2"/>
              <c:y val="-5.5096418732782419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baseline="0">
                  <a:solidFill>
                    <a:srgbClr val="2C393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6"/>
        <c:spPr>
          <a:solidFill>
            <a:srgbClr val="819A91"/>
          </a:solidFill>
          <a:ln w="19050">
            <a:solidFill>
              <a:schemeClr val="lt1"/>
            </a:solidFill>
          </a:ln>
          <a:effectLst/>
        </c:spPr>
        <c:dLbl>
          <c:idx val="0"/>
          <c:layout>
            <c:manualLayout>
              <c:x val="0.11802089208762931"/>
              <c:y val="-5.4545326065011106E-2"/>
            </c:manualLayout>
          </c:layout>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baseline="0">
                  <a:solidFill>
                    <a:srgbClr val="2C393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3879671201558259"/>
                  <c:h val="0.16564102564102562"/>
                </c:manualLayout>
              </c15:layout>
            </c:ext>
          </c:extLst>
        </c:dLbl>
      </c:pivotFmt>
      <c:pivotFmt>
        <c:idx val="27"/>
        <c:spPr>
          <a:solidFill>
            <a:srgbClr val="2C3930"/>
          </a:solidFill>
          <a:ln w="19050">
            <a:solidFill>
              <a:schemeClr val="lt1"/>
            </a:solidFill>
          </a:ln>
          <a:effectLst/>
        </c:spPr>
        <c:dLbl>
          <c:idx val="0"/>
          <c:layout>
            <c:manualLayout>
              <c:x val="0.24180396478229163"/>
              <c:y val="5.670446885190452E-2"/>
            </c:manualLayout>
          </c:layout>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baseline="0">
                  <a:solidFill>
                    <a:srgbClr val="2C393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4376328317126547"/>
                  <c:h val="0.17923076923076919"/>
                </c:manualLayout>
              </c15:layout>
            </c:ext>
          </c:extLst>
        </c:dLbl>
      </c:pivotFmt>
      <c:pivotFmt>
        <c:idx val="28"/>
        <c:spPr>
          <a:solidFill>
            <a:srgbClr val="706D54"/>
          </a:solidFill>
          <a:ln w="19050">
            <a:solidFill>
              <a:schemeClr val="lt1"/>
            </a:solidFill>
          </a:ln>
          <a:effectLst/>
        </c:spPr>
        <c:dLbl>
          <c:idx val="0"/>
          <c:layout>
            <c:manualLayout>
              <c:x val="-0.10955455782926847"/>
              <c:y val="-8.0737532808398946E-2"/>
            </c:manualLayout>
          </c:layout>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baseline="0">
                  <a:solidFill>
                    <a:srgbClr val="2C393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5098361272176223"/>
                  <c:h val="0.24076923076923074"/>
                </c:manualLayout>
              </c15:layout>
            </c:ext>
          </c:extLst>
        </c:dLbl>
      </c:pivotFmt>
    </c:pivotFmts>
    <c:plotArea>
      <c:layout/>
      <c:doughnutChart>
        <c:varyColors val="1"/>
        <c:ser>
          <c:idx val="0"/>
          <c:order val="0"/>
          <c:tx>
            <c:strRef>
              <c:f>'pivot Table'!$J$9</c:f>
              <c:strCache>
                <c:ptCount val="1"/>
                <c:pt idx="0">
                  <c:v>Total</c:v>
                </c:pt>
              </c:strCache>
            </c:strRef>
          </c:tx>
          <c:dPt>
            <c:idx val="0"/>
            <c:bubble3D val="0"/>
            <c:spPr>
              <a:solidFill>
                <a:srgbClr val="819A91"/>
              </a:solidFill>
              <a:ln w="19050">
                <a:solidFill>
                  <a:schemeClr val="lt1"/>
                </a:solidFill>
              </a:ln>
              <a:effectLst/>
            </c:spPr>
            <c:extLst>
              <c:ext xmlns:c16="http://schemas.microsoft.com/office/drawing/2014/chart" uri="{C3380CC4-5D6E-409C-BE32-E72D297353CC}">
                <c16:uniqueId val="{00000001-475E-45A7-90FD-4F6155DEC25F}"/>
              </c:ext>
            </c:extLst>
          </c:dPt>
          <c:dPt>
            <c:idx val="1"/>
            <c:bubble3D val="0"/>
            <c:spPr>
              <a:solidFill>
                <a:srgbClr val="2C3930"/>
              </a:solidFill>
              <a:ln w="19050">
                <a:solidFill>
                  <a:schemeClr val="lt1"/>
                </a:solidFill>
              </a:ln>
              <a:effectLst/>
            </c:spPr>
            <c:extLst>
              <c:ext xmlns:c16="http://schemas.microsoft.com/office/drawing/2014/chart" uri="{C3380CC4-5D6E-409C-BE32-E72D297353CC}">
                <c16:uniqueId val="{00000003-475E-45A7-90FD-4F6155DEC25F}"/>
              </c:ext>
            </c:extLst>
          </c:dPt>
          <c:dPt>
            <c:idx val="2"/>
            <c:bubble3D val="0"/>
            <c:spPr>
              <a:solidFill>
                <a:srgbClr val="706D54"/>
              </a:solidFill>
              <a:ln w="19050">
                <a:solidFill>
                  <a:schemeClr val="lt1"/>
                </a:solidFill>
              </a:ln>
              <a:effectLst/>
            </c:spPr>
            <c:extLst>
              <c:ext xmlns:c16="http://schemas.microsoft.com/office/drawing/2014/chart" uri="{C3380CC4-5D6E-409C-BE32-E72D297353CC}">
                <c16:uniqueId val="{00000005-475E-45A7-90FD-4F6155DEC25F}"/>
              </c:ext>
            </c:extLst>
          </c:dPt>
          <c:dLbls>
            <c:dLbl>
              <c:idx val="0"/>
              <c:layout>
                <c:manualLayout>
                  <c:x val="0.11802089208762931"/>
                  <c:y val="-5.4545326065011106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3879671201558259"/>
                      <c:h val="0.16564102564102562"/>
                    </c:manualLayout>
                  </c15:layout>
                </c:ext>
                <c:ext xmlns:c16="http://schemas.microsoft.com/office/drawing/2014/chart" uri="{C3380CC4-5D6E-409C-BE32-E72D297353CC}">
                  <c16:uniqueId val="{00000001-475E-45A7-90FD-4F6155DEC25F}"/>
                </c:ext>
              </c:extLst>
            </c:dLbl>
            <c:dLbl>
              <c:idx val="1"/>
              <c:layout>
                <c:manualLayout>
                  <c:x val="0.24180396478229163"/>
                  <c:y val="5.670446885190452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376328317126547"/>
                      <c:h val="0.17923076923076919"/>
                    </c:manualLayout>
                  </c15:layout>
                </c:ext>
                <c:ext xmlns:c16="http://schemas.microsoft.com/office/drawing/2014/chart" uri="{C3380CC4-5D6E-409C-BE32-E72D297353CC}">
                  <c16:uniqueId val="{00000003-475E-45A7-90FD-4F6155DEC25F}"/>
                </c:ext>
              </c:extLst>
            </c:dLbl>
            <c:dLbl>
              <c:idx val="2"/>
              <c:layout>
                <c:manualLayout>
                  <c:x val="-0.10955455782926847"/>
                  <c:y val="-8.0737532808398946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5098361272176223"/>
                      <c:h val="0.24076923076923074"/>
                    </c:manualLayout>
                  </c15:layout>
                </c:ext>
                <c:ext xmlns:c16="http://schemas.microsoft.com/office/drawing/2014/chart" uri="{C3380CC4-5D6E-409C-BE32-E72D297353CC}">
                  <c16:uniqueId val="{00000005-475E-45A7-90FD-4F6155DEC25F}"/>
                </c:ext>
              </c:extLst>
            </c:dLbl>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baseline="0">
                    <a:solidFill>
                      <a:srgbClr val="2C3930"/>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'pivot Table'!$I$10:$I$13</c:f>
              <c:strCache>
                <c:ptCount val="3"/>
                <c:pt idx="0">
                  <c:v>Cincinnati</c:v>
                </c:pt>
                <c:pt idx="1">
                  <c:v>Cleveland</c:v>
                </c:pt>
                <c:pt idx="2">
                  <c:v>Columbus</c:v>
                </c:pt>
              </c:strCache>
            </c:strRef>
          </c:cat>
          <c:val>
            <c:numRef>
              <c:f>'pivot Table'!$J$10:$J$13</c:f>
              <c:numCache>
                <c:formatCode>0%</c:formatCode>
                <c:ptCount val="3"/>
                <c:pt idx="0">
                  <c:v>0.269718390031359</c:v>
                </c:pt>
                <c:pt idx="1">
                  <c:v>0.39171832793434275</c:v>
                </c:pt>
                <c:pt idx="2">
                  <c:v>0.33856328203429825</c:v>
                </c:pt>
              </c:numCache>
            </c:numRef>
          </c:val>
          <c:extLst>
            <c:ext xmlns:c16="http://schemas.microsoft.com/office/drawing/2014/chart" uri="{C3380CC4-5D6E-409C-BE32-E72D297353CC}">
              <c16:uniqueId val="{00000006-475E-45A7-90FD-4F6155DEC25F}"/>
            </c:ext>
          </c:extLst>
        </c:ser>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[Call Center Data.xlsx]pivot Table!Calls By Duration Bucket</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Calls By Duration Bucket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100000">
                <a:srgbClr val="C00000"/>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gs>
              <a:gs pos="100000">
                <a:srgbClr val="C00000"/>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gs>
              <a:gs pos="100000">
                <a:srgbClr val="C00000"/>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gs>
              <a:gs pos="100000">
                <a:srgbClr val="C00000"/>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gs>
              <a:gs pos="100000">
                <a:srgbClr val="C00000"/>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rgbClr val="A7C1A8"/>
              </a:gs>
              <a:gs pos="0">
                <a:srgbClr val="706D54"/>
              </a:gs>
            </a:gsLst>
            <a:lin ang="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2C39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Table'!$I$31</c:f>
              <c:strCache>
                <c:ptCount val="1"/>
                <c:pt idx="0">
                  <c:v>Total</c:v>
                </c:pt>
              </c:strCache>
            </c:strRef>
          </c:tx>
          <c:spPr>
            <a:gradFill flip="none" rotWithShape="1">
              <a:gsLst>
                <a:gs pos="100000">
                  <a:srgbClr val="A7C1A8"/>
                </a:gs>
                <a:gs pos="0">
                  <a:srgbClr val="706D54"/>
                </a:gs>
              </a:gsLst>
              <a:lin ang="0" scaled="0"/>
              <a:tileRect/>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2C393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Table'!$H$32:$H$37</c:f>
              <c:strCache>
                <c:ptCount val="5"/>
                <c:pt idx="0">
                  <c:v>Under 10 mins</c:v>
                </c:pt>
                <c:pt idx="1">
                  <c:v>10 to 30 mins</c:v>
                </c:pt>
                <c:pt idx="2">
                  <c:v>30 to 60 mins</c:v>
                </c:pt>
                <c:pt idx="3">
                  <c:v>More than 2 hours</c:v>
                </c:pt>
                <c:pt idx="4">
                  <c:v>1 to 2 hours</c:v>
                </c:pt>
              </c:strCache>
            </c:strRef>
          </c:cat>
          <c:val>
            <c:numRef>
              <c:f>'pivot Table'!$I$32:$I$37</c:f>
              <c:numCache>
                <c:formatCode>_-* #,##0_-;\-* #,##0_-;_-* "-"??_-;_-@_-</c:formatCode>
                <c:ptCount val="5"/>
                <c:pt idx="0">
                  <c:v>9</c:v>
                </c:pt>
                <c:pt idx="1">
                  <c:v>51</c:v>
                </c:pt>
                <c:pt idx="2">
                  <c:v>179</c:v>
                </c:pt>
                <c:pt idx="3">
                  <c:v>237</c:v>
                </c:pt>
                <c:pt idx="4">
                  <c:v>524</c:v>
                </c:pt>
              </c:numCache>
            </c:numRef>
          </c:val>
          <c:extLst>
            <c:ext xmlns:c16="http://schemas.microsoft.com/office/drawing/2014/chart" uri="{C3380CC4-5D6E-409C-BE32-E72D297353CC}">
              <c16:uniqueId val="{00000000-502F-4BBA-A8C4-43065035E2EF}"/>
            </c:ext>
          </c:extLst>
        </c:ser>
        <c:dLbls>
          <c:dLblPos val="outEnd"/>
          <c:showLegendKey val="0"/>
          <c:showVal val="1"/>
          <c:showCatName val="0"/>
          <c:showSerName val="0"/>
          <c:showPercent val="0"/>
          <c:showBubbleSize val="0"/>
        </c:dLbls>
        <c:gapWidth val="80"/>
        <c:overlap val="-27"/>
        <c:axId val="1976169359"/>
        <c:axId val="1976166959"/>
      </c:barChart>
      <c:catAx>
        <c:axId val="197616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rgbClr val="66785F"/>
                </a:solidFill>
                <a:latin typeface="+mn-lt"/>
                <a:ea typeface="+mn-ea"/>
                <a:cs typeface="+mn-cs"/>
              </a:defRPr>
            </a:pPr>
            <a:endParaRPr lang="en-US"/>
          </a:p>
        </c:txPr>
        <c:crossAx val="1976166959"/>
        <c:crosses val="autoZero"/>
        <c:auto val="1"/>
        <c:lblAlgn val="ctr"/>
        <c:lblOffset val="100"/>
        <c:noMultiLvlLbl val="0"/>
      </c:catAx>
      <c:valAx>
        <c:axId val="1976166959"/>
        <c:scaling>
          <c:orientation val="minMax"/>
        </c:scaling>
        <c:delete val="1"/>
        <c:axPos val="b"/>
        <c:numFmt formatCode="_-* #,##0_-;\-* #,##0_-;_-* &quot;-&quot;??_-;_-@_-" sourceLinked="1"/>
        <c:majorTickMark val="none"/>
        <c:minorTickMark val="none"/>
        <c:tickLblPos val="nextTo"/>
        <c:crossAx val="19761693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114299</xdr:colOff>
      <xdr:row>1</xdr:row>
      <xdr:rowOff>38100</xdr:rowOff>
    </xdr:from>
    <xdr:to>
      <xdr:col>19</xdr:col>
      <xdr:colOff>586424</xdr:colOff>
      <xdr:row>7</xdr:row>
      <xdr:rowOff>66675</xdr:rowOff>
    </xdr:to>
    <xdr:grpSp>
      <xdr:nvGrpSpPr>
        <xdr:cNvPr id="34" name="Group 33">
          <a:extLst>
            <a:ext uri="{FF2B5EF4-FFF2-40B4-BE49-F238E27FC236}">
              <a16:creationId xmlns:a16="http://schemas.microsoft.com/office/drawing/2014/main" id="{FA2B07DE-0B8C-3B8F-98CE-0A7A2A7501A4}"/>
            </a:ext>
          </a:extLst>
        </xdr:cNvPr>
        <xdr:cNvGrpSpPr/>
      </xdr:nvGrpSpPr>
      <xdr:grpSpPr>
        <a:xfrm>
          <a:off x="114299" y="228600"/>
          <a:ext cx="13502325" cy="1171575"/>
          <a:chOff x="142873" y="66675"/>
          <a:chExt cx="13502325" cy="1171575"/>
        </a:xfrm>
      </xdr:grpSpPr>
      <xdr:grpSp>
        <xdr:nvGrpSpPr>
          <xdr:cNvPr id="33" name="Group 32">
            <a:extLst>
              <a:ext uri="{FF2B5EF4-FFF2-40B4-BE49-F238E27FC236}">
                <a16:creationId xmlns:a16="http://schemas.microsoft.com/office/drawing/2014/main" id="{FFB2FFD4-1969-9053-041E-B1EA6E40ED0C}"/>
              </a:ext>
            </a:extLst>
          </xdr:cNvPr>
          <xdr:cNvGrpSpPr/>
        </xdr:nvGrpSpPr>
        <xdr:grpSpPr>
          <a:xfrm>
            <a:off x="3077287" y="66675"/>
            <a:ext cx="2520000" cy="1171575"/>
            <a:chOff x="3057523" y="104775"/>
            <a:chExt cx="2520000" cy="1171575"/>
          </a:xfrm>
        </xdr:grpSpPr>
        <xdr:sp macro="" textlink="">
          <xdr:nvSpPr>
            <xdr:cNvPr id="7" name="Rectangle: Rounded Corners 6">
              <a:extLst>
                <a:ext uri="{FF2B5EF4-FFF2-40B4-BE49-F238E27FC236}">
                  <a16:creationId xmlns:a16="http://schemas.microsoft.com/office/drawing/2014/main" id="{0CB53161-7D68-915A-49D5-5EBE77535C7A}"/>
                </a:ext>
              </a:extLst>
            </xdr:cNvPr>
            <xdr:cNvSpPr/>
          </xdr:nvSpPr>
          <xdr:spPr>
            <a:xfrm>
              <a:off x="3057523" y="104775"/>
              <a:ext cx="2520000" cy="1171575"/>
            </a:xfrm>
            <a:prstGeom prst="roundRect">
              <a:avLst>
                <a:gd name="adj" fmla="val 10560"/>
              </a:avLst>
            </a:prstGeom>
            <a:solidFill>
              <a:srgbClr val="EEEFE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B4">
          <xdr:nvSpPr>
            <xdr:cNvPr id="8" name="TextBox 7">
              <a:extLst>
                <a:ext uri="{FF2B5EF4-FFF2-40B4-BE49-F238E27FC236}">
                  <a16:creationId xmlns:a16="http://schemas.microsoft.com/office/drawing/2014/main" id="{E0CC2652-C89D-BA9A-D880-404982BF9DC6}"/>
                </a:ext>
              </a:extLst>
            </xdr:cNvPr>
            <xdr:cNvSpPr txBox="1"/>
          </xdr:nvSpPr>
          <xdr:spPr>
            <a:xfrm>
              <a:off x="4339248" y="247650"/>
              <a:ext cx="91241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6B6D53-D664-4D13-9316-6B91EAAA67D2}" type="TxLink">
                <a:rPr lang="en-US" sz="1600" b="1" i="0" u="none" strike="noStrike">
                  <a:solidFill>
                    <a:srgbClr val="66785F"/>
                  </a:solidFill>
                  <a:latin typeface="Aptos"/>
                </a:rPr>
                <a:pPr algn="ctr"/>
                <a:t>Calls</a:t>
              </a:fld>
              <a:endParaRPr lang="en-US" sz="1600" b="1">
                <a:solidFill>
                  <a:srgbClr val="66785F"/>
                </a:solidFill>
              </a:endParaRPr>
            </a:p>
          </xdr:txBody>
        </xdr:sp>
        <xdr:sp macro="" textlink="'pivot Table'!B5">
          <xdr:nvSpPr>
            <xdr:cNvPr id="9" name="TextBox 8">
              <a:extLst>
                <a:ext uri="{FF2B5EF4-FFF2-40B4-BE49-F238E27FC236}">
                  <a16:creationId xmlns:a16="http://schemas.microsoft.com/office/drawing/2014/main" id="{6C51059A-0E17-221E-1F7C-3905EA146B70}"/>
                </a:ext>
              </a:extLst>
            </xdr:cNvPr>
            <xdr:cNvSpPr txBox="1"/>
          </xdr:nvSpPr>
          <xdr:spPr>
            <a:xfrm>
              <a:off x="4067696" y="638175"/>
              <a:ext cx="131430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20BF5E-9C4B-4A93-A827-719AB74CEF1E}" type="TxLink">
                <a:rPr lang="en-US" sz="2800" b="1" i="0" u="none" strike="noStrike">
                  <a:solidFill>
                    <a:srgbClr val="2C3930"/>
                  </a:solidFill>
                  <a:latin typeface="Aptos"/>
                </a:rPr>
                <a:pPr algn="ctr"/>
                <a:t> 1,000 </a:t>
              </a:fld>
              <a:endParaRPr lang="en-US" sz="2800" b="1">
                <a:solidFill>
                  <a:srgbClr val="2C3930"/>
                </a:solidFill>
              </a:endParaRPr>
            </a:p>
          </xdr:txBody>
        </xdr:sp>
        <xdr:pic>
          <xdr:nvPicPr>
            <xdr:cNvPr id="10" name="Picture 9">
              <a:extLst>
                <a:ext uri="{FF2B5EF4-FFF2-40B4-BE49-F238E27FC236}">
                  <a16:creationId xmlns:a16="http://schemas.microsoft.com/office/drawing/2014/main" id="{84A81CF1-2CE9-8B06-5821-F08512D1F3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98731" y="333375"/>
              <a:ext cx="821069" cy="720000"/>
            </a:xfrm>
            <a:prstGeom prst="rect">
              <a:avLst/>
            </a:prstGeom>
          </xdr:spPr>
        </xdr:pic>
      </xdr:grpSp>
      <xdr:grpSp>
        <xdr:nvGrpSpPr>
          <xdr:cNvPr id="22" name="Group 21">
            <a:extLst>
              <a:ext uri="{FF2B5EF4-FFF2-40B4-BE49-F238E27FC236}">
                <a16:creationId xmlns:a16="http://schemas.microsoft.com/office/drawing/2014/main" id="{6084F727-D324-9537-8E15-F7DC3A234D81}"/>
              </a:ext>
            </a:extLst>
          </xdr:cNvPr>
          <xdr:cNvGrpSpPr/>
        </xdr:nvGrpSpPr>
        <xdr:grpSpPr>
          <a:xfrm>
            <a:off x="8442561" y="66675"/>
            <a:ext cx="2520000" cy="1171575"/>
            <a:chOff x="3971924" y="371475"/>
            <a:chExt cx="2238375" cy="1171575"/>
          </a:xfrm>
        </xdr:grpSpPr>
        <xdr:sp macro="" textlink="">
          <xdr:nvSpPr>
            <xdr:cNvPr id="2" name="Rectangle: Rounded Corners 1">
              <a:extLst>
                <a:ext uri="{FF2B5EF4-FFF2-40B4-BE49-F238E27FC236}">
                  <a16:creationId xmlns:a16="http://schemas.microsoft.com/office/drawing/2014/main" id="{62BC80E2-B1DA-C2EB-2C78-EB54BBD5BCBC}"/>
                </a:ext>
              </a:extLst>
            </xdr:cNvPr>
            <xdr:cNvSpPr/>
          </xdr:nvSpPr>
          <xdr:spPr>
            <a:xfrm>
              <a:off x="3971924" y="371475"/>
              <a:ext cx="2209801" cy="1171575"/>
            </a:xfrm>
            <a:prstGeom prst="roundRect">
              <a:avLst>
                <a:gd name="adj" fmla="val 10560"/>
              </a:avLst>
            </a:prstGeom>
            <a:solidFill>
              <a:srgbClr val="EEEFE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C4">
          <xdr:nvSpPr>
            <xdr:cNvPr id="3" name="TextBox 2">
              <a:extLst>
                <a:ext uri="{FF2B5EF4-FFF2-40B4-BE49-F238E27FC236}">
                  <a16:creationId xmlns:a16="http://schemas.microsoft.com/office/drawing/2014/main" id="{990EA22D-16DE-3024-A1D1-EDF4CD039CCF}"/>
                </a:ext>
              </a:extLst>
            </xdr:cNvPr>
            <xdr:cNvSpPr txBox="1"/>
          </xdr:nvSpPr>
          <xdr:spPr>
            <a:xfrm>
              <a:off x="4752974" y="514350"/>
              <a:ext cx="14573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C10360-697B-4BBC-9301-341B891E0410}" type="TxLink">
                <a:rPr lang="en-US" sz="1600" b="1" i="0" u="none" strike="noStrike">
                  <a:solidFill>
                    <a:srgbClr val="66785F"/>
                  </a:solidFill>
                  <a:latin typeface="Aptos"/>
                  <a:ea typeface="+mn-ea"/>
                  <a:cs typeface="+mn-cs"/>
                </a:rPr>
                <a:pPr marL="0" indent="0" algn="ctr"/>
                <a:t>Avg Rating</a:t>
              </a:fld>
              <a:endParaRPr lang="en-US" sz="1600" b="1" i="0" u="none" strike="noStrike">
                <a:solidFill>
                  <a:srgbClr val="66785F"/>
                </a:solidFill>
                <a:latin typeface="Aptos"/>
                <a:ea typeface="+mn-ea"/>
                <a:cs typeface="+mn-cs"/>
              </a:endParaRPr>
            </a:p>
          </xdr:txBody>
        </xdr:sp>
        <xdr:sp macro="" textlink="'pivot Table'!C5">
          <xdr:nvSpPr>
            <xdr:cNvPr id="4" name="TextBox 3">
              <a:extLst>
                <a:ext uri="{FF2B5EF4-FFF2-40B4-BE49-F238E27FC236}">
                  <a16:creationId xmlns:a16="http://schemas.microsoft.com/office/drawing/2014/main" id="{DB705026-D86F-B342-C738-22A6E5F9A060}"/>
                </a:ext>
              </a:extLst>
            </xdr:cNvPr>
            <xdr:cNvSpPr txBox="1"/>
          </xdr:nvSpPr>
          <xdr:spPr>
            <a:xfrm>
              <a:off x="4943475" y="923925"/>
              <a:ext cx="103822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6EF34D-8C64-4235-A829-F7DC066EE3C8}" type="TxLink">
                <a:rPr lang="en-US" sz="2800" b="1" i="0" u="none" strike="noStrike">
                  <a:solidFill>
                    <a:srgbClr val="2C3930"/>
                  </a:solidFill>
                  <a:latin typeface="Aptos"/>
                  <a:ea typeface="+mn-ea"/>
                  <a:cs typeface="+mn-cs"/>
                </a:rPr>
                <a:pPr marL="0" indent="0" algn="ctr"/>
                <a:t>3.89</a:t>
              </a:fld>
              <a:endParaRPr lang="en-US" sz="2800" b="1" i="0" u="none" strike="noStrike">
                <a:solidFill>
                  <a:srgbClr val="2C3930"/>
                </a:solidFill>
                <a:latin typeface="Aptos"/>
                <a:ea typeface="+mn-ea"/>
                <a:cs typeface="+mn-cs"/>
              </a:endParaRPr>
            </a:p>
          </xdr:txBody>
        </xdr:sp>
        <xdr:pic>
          <xdr:nvPicPr>
            <xdr:cNvPr id="13" name="Picture 12">
              <a:extLst>
                <a:ext uri="{FF2B5EF4-FFF2-40B4-BE49-F238E27FC236}">
                  <a16:creationId xmlns:a16="http://schemas.microsoft.com/office/drawing/2014/main" id="{3DD4A1A4-CF5A-E604-06E3-7D6E491A950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48125" y="533400"/>
              <a:ext cx="756000" cy="756000"/>
            </a:xfrm>
            <a:prstGeom prst="rect">
              <a:avLst/>
            </a:prstGeom>
          </xdr:spPr>
        </xdr:pic>
      </xdr:grpSp>
      <xdr:grpSp>
        <xdr:nvGrpSpPr>
          <xdr:cNvPr id="27" name="Group 26">
            <a:extLst>
              <a:ext uri="{FF2B5EF4-FFF2-40B4-BE49-F238E27FC236}">
                <a16:creationId xmlns:a16="http://schemas.microsoft.com/office/drawing/2014/main" id="{65548A4E-1521-20DE-F9DF-EF8AE5EF01B6}"/>
              </a:ext>
            </a:extLst>
          </xdr:cNvPr>
          <xdr:cNvGrpSpPr/>
        </xdr:nvGrpSpPr>
        <xdr:grpSpPr>
          <a:xfrm>
            <a:off x="5759924" y="66675"/>
            <a:ext cx="2520000" cy="1171575"/>
            <a:chOff x="3971924" y="1819275"/>
            <a:chExt cx="2209801" cy="1171575"/>
          </a:xfrm>
        </xdr:grpSpPr>
        <xdr:sp macro="" textlink="">
          <xdr:nvSpPr>
            <xdr:cNvPr id="14" name="Rectangle: Rounded Corners 13">
              <a:extLst>
                <a:ext uri="{FF2B5EF4-FFF2-40B4-BE49-F238E27FC236}">
                  <a16:creationId xmlns:a16="http://schemas.microsoft.com/office/drawing/2014/main" id="{266AE80D-6056-09FA-AD4D-C94F95D4D5A9}"/>
                </a:ext>
              </a:extLst>
            </xdr:cNvPr>
            <xdr:cNvSpPr/>
          </xdr:nvSpPr>
          <xdr:spPr>
            <a:xfrm>
              <a:off x="3971924" y="1819275"/>
              <a:ext cx="2209801" cy="1171575"/>
            </a:xfrm>
            <a:prstGeom prst="roundRect">
              <a:avLst>
                <a:gd name="adj" fmla="val 10560"/>
              </a:avLst>
            </a:prstGeom>
            <a:solidFill>
              <a:srgbClr val="EEEFE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E4">
          <xdr:nvSpPr>
            <xdr:cNvPr id="15" name="TextBox 14">
              <a:extLst>
                <a:ext uri="{FF2B5EF4-FFF2-40B4-BE49-F238E27FC236}">
                  <a16:creationId xmlns:a16="http://schemas.microsoft.com/office/drawing/2014/main" id="{D9589AC4-17BD-632A-2ACA-1755D86F5607}"/>
                </a:ext>
              </a:extLst>
            </xdr:cNvPr>
            <xdr:cNvSpPr txBox="1"/>
          </xdr:nvSpPr>
          <xdr:spPr>
            <a:xfrm>
              <a:off x="4676775" y="1952625"/>
              <a:ext cx="14001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13F3A9-4C2A-4731-9B6A-9D549B898D73}" type="TxLink">
                <a:rPr lang="en-US" sz="1600" b="1" i="0" u="none" strike="noStrike">
                  <a:solidFill>
                    <a:srgbClr val="66785F"/>
                  </a:solidFill>
                  <a:latin typeface="Aptos"/>
                  <a:ea typeface="+mn-ea"/>
                  <a:cs typeface="+mn-cs"/>
                </a:rPr>
                <a:pPr marL="0" indent="0" algn="ctr"/>
                <a:t>Avg Duration</a:t>
              </a:fld>
              <a:endParaRPr lang="en-US" sz="1600" b="1" i="0" u="none" strike="noStrike">
                <a:solidFill>
                  <a:srgbClr val="66785F"/>
                </a:solidFill>
                <a:latin typeface="Aptos"/>
                <a:ea typeface="+mn-ea"/>
                <a:cs typeface="+mn-cs"/>
              </a:endParaRPr>
            </a:p>
          </xdr:txBody>
        </xdr:sp>
        <xdr:sp macro="" textlink="'pivot Table'!E5">
          <xdr:nvSpPr>
            <xdr:cNvPr id="16" name="TextBox 15">
              <a:extLst>
                <a:ext uri="{FF2B5EF4-FFF2-40B4-BE49-F238E27FC236}">
                  <a16:creationId xmlns:a16="http://schemas.microsoft.com/office/drawing/2014/main" id="{03DF9E35-7DDA-8BB4-B1B6-FB12D3A07D24}"/>
                </a:ext>
              </a:extLst>
            </xdr:cNvPr>
            <xdr:cNvSpPr txBox="1"/>
          </xdr:nvSpPr>
          <xdr:spPr>
            <a:xfrm>
              <a:off x="4810125" y="2390775"/>
              <a:ext cx="103822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C8EB8A-1C6C-42A3-991F-2C9516BF5039}" type="TxLink">
                <a:rPr lang="en-US" sz="2800" b="1" i="0" u="none" strike="noStrike">
                  <a:solidFill>
                    <a:srgbClr val="2C3930"/>
                  </a:solidFill>
                  <a:latin typeface="Aptos"/>
                  <a:ea typeface="+mn-ea"/>
                  <a:cs typeface="+mn-cs"/>
                </a:rPr>
                <a:pPr marL="0" indent="0" algn="ctr"/>
                <a:t> 90 </a:t>
              </a:fld>
              <a:endParaRPr lang="en-US" sz="2800" b="1" i="0" u="none" strike="noStrike">
                <a:solidFill>
                  <a:srgbClr val="2C3930"/>
                </a:solidFill>
                <a:latin typeface="Aptos"/>
                <a:ea typeface="+mn-ea"/>
                <a:cs typeface="+mn-cs"/>
              </a:endParaRPr>
            </a:p>
          </xdr:txBody>
        </xdr:sp>
        <xdr:pic>
          <xdr:nvPicPr>
            <xdr:cNvPr id="24" name="Picture 23">
              <a:extLst>
                <a:ext uri="{FF2B5EF4-FFF2-40B4-BE49-F238E27FC236}">
                  <a16:creationId xmlns:a16="http://schemas.microsoft.com/office/drawing/2014/main" id="{FE188BB3-5B23-D1C9-692E-708999510D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038600" y="2028825"/>
              <a:ext cx="720000" cy="720000"/>
            </a:xfrm>
            <a:prstGeom prst="rect">
              <a:avLst/>
            </a:prstGeom>
          </xdr:spPr>
        </xdr:pic>
      </xdr:grpSp>
      <xdr:grpSp>
        <xdr:nvGrpSpPr>
          <xdr:cNvPr id="28" name="Group 27">
            <a:extLst>
              <a:ext uri="{FF2B5EF4-FFF2-40B4-BE49-F238E27FC236}">
                <a16:creationId xmlns:a16="http://schemas.microsoft.com/office/drawing/2014/main" id="{C252A5EA-95FA-D521-2F3D-8B63C35FD98B}"/>
              </a:ext>
            </a:extLst>
          </xdr:cNvPr>
          <xdr:cNvGrpSpPr/>
        </xdr:nvGrpSpPr>
        <xdr:grpSpPr>
          <a:xfrm>
            <a:off x="11125198" y="66675"/>
            <a:ext cx="2520000" cy="1171575"/>
            <a:chOff x="3971924" y="3124200"/>
            <a:chExt cx="2238376" cy="1171575"/>
          </a:xfrm>
        </xdr:grpSpPr>
        <xdr:sp macro="" textlink="">
          <xdr:nvSpPr>
            <xdr:cNvPr id="18" name="Rectangle: Rounded Corners 17">
              <a:extLst>
                <a:ext uri="{FF2B5EF4-FFF2-40B4-BE49-F238E27FC236}">
                  <a16:creationId xmlns:a16="http://schemas.microsoft.com/office/drawing/2014/main" id="{BDC53A50-8350-3A5A-F86A-05BA9F32CBD4}"/>
                </a:ext>
              </a:extLst>
            </xdr:cNvPr>
            <xdr:cNvSpPr/>
          </xdr:nvSpPr>
          <xdr:spPr>
            <a:xfrm>
              <a:off x="3971924" y="3124200"/>
              <a:ext cx="2209801" cy="1171575"/>
            </a:xfrm>
            <a:prstGeom prst="roundRect">
              <a:avLst>
                <a:gd name="adj" fmla="val 10560"/>
              </a:avLst>
            </a:prstGeom>
            <a:solidFill>
              <a:srgbClr val="EEEFE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H4">
          <xdr:nvSpPr>
            <xdr:cNvPr id="19" name="TextBox 18">
              <a:extLst>
                <a:ext uri="{FF2B5EF4-FFF2-40B4-BE49-F238E27FC236}">
                  <a16:creationId xmlns:a16="http://schemas.microsoft.com/office/drawing/2014/main" id="{30C9AE68-AE72-A737-79D7-7B1AD8AFC91A}"/>
                </a:ext>
              </a:extLst>
            </xdr:cNvPr>
            <xdr:cNvSpPr txBox="1"/>
          </xdr:nvSpPr>
          <xdr:spPr>
            <a:xfrm>
              <a:off x="4324350" y="3219450"/>
              <a:ext cx="18859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E4CA80-2725-4D6E-A2C7-2FC6E8CB11FF}" type="TxLink">
                <a:rPr lang="en-US" sz="1600" b="1" i="0" u="none" strike="noStrike">
                  <a:solidFill>
                    <a:srgbClr val="66785F"/>
                  </a:solidFill>
                  <a:latin typeface="Aptos"/>
                  <a:ea typeface="+mn-ea"/>
                  <a:cs typeface="+mn-cs"/>
                </a:rPr>
                <a:pPr marL="0" indent="0" algn="ctr"/>
                <a:t>Purchase Amount </a:t>
              </a:fld>
              <a:endParaRPr lang="en-US" sz="1600" b="1" i="0" u="none" strike="noStrike">
                <a:solidFill>
                  <a:srgbClr val="66785F"/>
                </a:solidFill>
                <a:latin typeface="Aptos"/>
                <a:ea typeface="+mn-ea"/>
                <a:cs typeface="+mn-cs"/>
              </a:endParaRPr>
            </a:p>
          </xdr:txBody>
        </xdr:sp>
        <xdr:sp macro="" textlink="'pivot Table'!H5">
          <xdr:nvSpPr>
            <xdr:cNvPr id="20" name="TextBox 19">
              <a:extLst>
                <a:ext uri="{FF2B5EF4-FFF2-40B4-BE49-F238E27FC236}">
                  <a16:creationId xmlns:a16="http://schemas.microsoft.com/office/drawing/2014/main" id="{E82E3C27-8C9A-835D-A263-EABD2F01302F}"/>
                </a:ext>
              </a:extLst>
            </xdr:cNvPr>
            <xdr:cNvSpPr txBox="1"/>
          </xdr:nvSpPr>
          <xdr:spPr>
            <a:xfrm>
              <a:off x="4629149" y="3562349"/>
              <a:ext cx="14192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7C258C-AA88-4A4A-9798-ECB9B46D8FB3}" type="TxLink">
                <a:rPr lang="en-US" sz="2800" b="1" i="0" u="none" strike="noStrike">
                  <a:solidFill>
                    <a:srgbClr val="2C3930"/>
                  </a:solidFill>
                  <a:latin typeface="Aptos"/>
                  <a:ea typeface="+mn-ea"/>
                  <a:cs typeface="+mn-cs"/>
                </a:rPr>
                <a:pPr marL="0" indent="0" algn="ctr"/>
                <a:t> 96,623 </a:t>
              </a:fld>
              <a:endParaRPr lang="en-US" sz="2800" b="1" i="0" u="none" strike="noStrike">
                <a:solidFill>
                  <a:srgbClr val="2C3930"/>
                </a:solidFill>
                <a:latin typeface="Aptos"/>
                <a:ea typeface="+mn-ea"/>
                <a:cs typeface="+mn-cs"/>
              </a:endParaRPr>
            </a:p>
          </xdr:txBody>
        </xdr:sp>
        <xdr:pic>
          <xdr:nvPicPr>
            <xdr:cNvPr id="26" name="Picture 25">
              <a:extLst>
                <a:ext uri="{FF2B5EF4-FFF2-40B4-BE49-F238E27FC236}">
                  <a16:creationId xmlns:a16="http://schemas.microsoft.com/office/drawing/2014/main" id="{A501169E-690A-9A94-454F-973FA2805E5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29075" y="3457575"/>
              <a:ext cx="720000" cy="720000"/>
            </a:xfrm>
            <a:prstGeom prst="rect">
              <a:avLst/>
            </a:prstGeom>
          </xdr:spPr>
        </xdr:pic>
      </xdr:grpSp>
      <xdr:sp macro="" textlink="">
        <xdr:nvSpPr>
          <xdr:cNvPr id="30" name="Rectangle: Rounded Corners 29">
            <a:extLst>
              <a:ext uri="{FF2B5EF4-FFF2-40B4-BE49-F238E27FC236}">
                <a16:creationId xmlns:a16="http://schemas.microsoft.com/office/drawing/2014/main" id="{D096B786-AFE6-1B24-CDDC-3D00DE45717E}"/>
              </a:ext>
            </a:extLst>
          </xdr:cNvPr>
          <xdr:cNvSpPr/>
        </xdr:nvSpPr>
        <xdr:spPr>
          <a:xfrm>
            <a:off x="142873" y="66675"/>
            <a:ext cx="2771777" cy="1171575"/>
          </a:xfrm>
          <a:prstGeom prst="roundRect">
            <a:avLst>
              <a:gd name="adj" fmla="val 10560"/>
            </a:avLst>
          </a:prstGeom>
          <a:solidFill>
            <a:srgbClr val="EEEFE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66785F"/>
                </a:solidFill>
              </a:rPr>
              <a:t>Call Center</a:t>
            </a:r>
            <a:r>
              <a:rPr lang="en-US" sz="2800" b="1" baseline="0">
                <a:solidFill>
                  <a:srgbClr val="66785F"/>
                </a:solidFill>
              </a:rPr>
              <a:t> </a:t>
            </a:r>
            <a:r>
              <a:rPr lang="en-US" sz="2000" b="1" baseline="0">
                <a:solidFill>
                  <a:srgbClr val="66785F"/>
                </a:solidFill>
              </a:rPr>
              <a:t>Dashboard</a:t>
            </a:r>
            <a:endParaRPr lang="en-US" sz="2800" b="1">
              <a:solidFill>
                <a:srgbClr val="66785F"/>
              </a:solidFill>
            </a:endParaRPr>
          </a:p>
        </xdr:txBody>
      </xdr:sp>
    </xdr:grpSp>
    <xdr:clientData/>
  </xdr:twoCellAnchor>
  <xdr:twoCellAnchor>
    <xdr:from>
      <xdr:col>0</xdr:col>
      <xdr:colOff>114299</xdr:colOff>
      <xdr:row>8</xdr:row>
      <xdr:rowOff>19050</xdr:rowOff>
    </xdr:from>
    <xdr:to>
      <xdr:col>2</xdr:col>
      <xdr:colOff>434699</xdr:colOff>
      <xdr:row>41</xdr:row>
      <xdr:rowOff>9525</xdr:rowOff>
    </xdr:to>
    <xdr:grpSp>
      <xdr:nvGrpSpPr>
        <xdr:cNvPr id="43" name="Group 42">
          <a:extLst>
            <a:ext uri="{FF2B5EF4-FFF2-40B4-BE49-F238E27FC236}">
              <a16:creationId xmlns:a16="http://schemas.microsoft.com/office/drawing/2014/main" id="{F1EEA793-A421-020B-63FA-EAF754B0DABC}"/>
            </a:ext>
          </a:extLst>
        </xdr:cNvPr>
        <xdr:cNvGrpSpPr/>
      </xdr:nvGrpSpPr>
      <xdr:grpSpPr>
        <a:xfrm>
          <a:off x="114299" y="1543050"/>
          <a:ext cx="1692000" cy="6276975"/>
          <a:chOff x="114299" y="1362075"/>
          <a:chExt cx="1692000" cy="6768000"/>
        </a:xfrm>
      </xdr:grpSpPr>
      <xdr:sp macro="" textlink="">
        <xdr:nvSpPr>
          <xdr:cNvPr id="5" name="Rectangle: Rounded Corners 4">
            <a:extLst>
              <a:ext uri="{FF2B5EF4-FFF2-40B4-BE49-F238E27FC236}">
                <a16:creationId xmlns:a16="http://schemas.microsoft.com/office/drawing/2014/main" id="{213C0D0F-76A1-2E18-DA40-DC579E67CBF2}"/>
              </a:ext>
            </a:extLst>
          </xdr:cNvPr>
          <xdr:cNvSpPr/>
        </xdr:nvSpPr>
        <xdr:spPr>
          <a:xfrm>
            <a:off x="114299" y="1362075"/>
            <a:ext cx="1692000" cy="6768000"/>
          </a:xfrm>
          <a:prstGeom prst="roundRect">
            <a:avLst>
              <a:gd name="adj" fmla="val 5467"/>
            </a:avLst>
          </a:prstGeom>
          <a:solidFill>
            <a:srgbClr val="EEEFE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a:solidFill>
                <a:srgbClr val="66785F"/>
              </a:solidFill>
            </a:endParaRPr>
          </a:p>
        </xdr:txBody>
      </xdr:sp>
      <xdr:sp macro="" textlink="">
        <xdr:nvSpPr>
          <xdr:cNvPr id="32" name="TextBox 31">
            <a:extLst>
              <a:ext uri="{FF2B5EF4-FFF2-40B4-BE49-F238E27FC236}">
                <a16:creationId xmlns:a16="http://schemas.microsoft.com/office/drawing/2014/main" id="{E00F476C-0A19-3195-4A18-F714A87369BE}"/>
              </a:ext>
            </a:extLst>
          </xdr:cNvPr>
          <xdr:cNvSpPr txBox="1"/>
        </xdr:nvSpPr>
        <xdr:spPr>
          <a:xfrm>
            <a:off x="491148" y="1457325"/>
            <a:ext cx="91241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66785F"/>
                </a:solidFill>
                <a:latin typeface="Aptos"/>
              </a:rPr>
              <a:t>Filters</a:t>
            </a:r>
          </a:p>
        </xdr:txBody>
      </xdr:sp>
      <xdr:grpSp>
        <xdr:nvGrpSpPr>
          <xdr:cNvPr id="35" name="Group 34">
            <a:extLst>
              <a:ext uri="{FF2B5EF4-FFF2-40B4-BE49-F238E27FC236}">
                <a16:creationId xmlns:a16="http://schemas.microsoft.com/office/drawing/2014/main" id="{22F110BB-6D9B-0B84-07C3-8258EF7231EA}"/>
              </a:ext>
            </a:extLst>
          </xdr:cNvPr>
          <xdr:cNvGrpSpPr/>
        </xdr:nvGrpSpPr>
        <xdr:grpSpPr>
          <a:xfrm>
            <a:off x="171449" y="1962150"/>
            <a:ext cx="1571626" cy="3672058"/>
            <a:chOff x="171449" y="1962150"/>
            <a:chExt cx="1548000" cy="3672058"/>
          </a:xfrm>
        </xdr:grpSpPr>
        <mc:AlternateContent xmlns:mc="http://schemas.openxmlformats.org/markup-compatibility/2006">
          <mc:Choice xmlns:a14="http://schemas.microsoft.com/office/drawing/2010/main" Requires="a14">
            <xdr:graphicFrame macro="">
              <xdr:nvGraphicFramePr>
                <xdr:cNvPr id="25" name="Representative">
                  <a:extLst>
                    <a:ext uri="{FF2B5EF4-FFF2-40B4-BE49-F238E27FC236}">
                      <a16:creationId xmlns:a16="http://schemas.microsoft.com/office/drawing/2014/main" id="{F69560FB-BE38-4EF1-904E-15BA87CF9B51}"/>
                    </a:ext>
                  </a:extLst>
                </xdr:cNvPr>
                <xdr:cNvGraphicFramePr/>
              </xdr:nvGraphicFramePr>
              <xdr:xfrm>
                <a:off x="171449" y="1962150"/>
                <a:ext cx="1548000" cy="2126611"/>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171449" y="2099589"/>
                  <a:ext cx="1571626" cy="1972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9" name="City">
                  <a:extLst>
                    <a:ext uri="{FF2B5EF4-FFF2-40B4-BE49-F238E27FC236}">
                      <a16:creationId xmlns:a16="http://schemas.microsoft.com/office/drawing/2014/main" id="{E21E28AC-B7A7-4C2F-8AAB-42CD11B7FF05}"/>
                    </a:ext>
                  </a:extLst>
                </xdr:cNvPr>
                <xdr:cNvGraphicFramePr/>
              </xdr:nvGraphicFramePr>
              <xdr:xfrm>
                <a:off x="171449" y="4202434"/>
                <a:ext cx="1548000" cy="1431774"/>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71449" y="4177338"/>
                  <a:ext cx="1571626" cy="1327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40" name="Group 39">
            <a:extLst>
              <a:ext uri="{FF2B5EF4-FFF2-40B4-BE49-F238E27FC236}">
                <a16:creationId xmlns:a16="http://schemas.microsoft.com/office/drawing/2014/main" id="{BBD8A828-AF80-E8CC-5E66-91002C63DB86}"/>
              </a:ext>
            </a:extLst>
          </xdr:cNvPr>
          <xdr:cNvGrpSpPr/>
        </xdr:nvGrpSpPr>
        <xdr:grpSpPr>
          <a:xfrm>
            <a:off x="171450" y="6191249"/>
            <a:ext cx="1571626" cy="1419225"/>
            <a:chOff x="171450" y="5905499"/>
            <a:chExt cx="1548000" cy="1419225"/>
          </a:xfrm>
        </xdr:grpSpPr>
        <xdr:sp macro="" textlink="">
          <xdr:nvSpPr>
            <xdr:cNvPr id="37" name="TextBox 36">
              <a:extLst>
                <a:ext uri="{FF2B5EF4-FFF2-40B4-BE49-F238E27FC236}">
                  <a16:creationId xmlns:a16="http://schemas.microsoft.com/office/drawing/2014/main" id="{FF7A654F-CCC4-E94B-B2D1-507B18BFACDE}"/>
                </a:ext>
              </a:extLst>
            </xdr:cNvPr>
            <xdr:cNvSpPr txBox="1"/>
          </xdr:nvSpPr>
          <xdr:spPr>
            <a:xfrm>
              <a:off x="171450" y="5905499"/>
              <a:ext cx="1548000" cy="1419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66785F"/>
                  </a:solidFill>
                  <a:latin typeface="Aptos"/>
                </a:rPr>
                <a:t>By</a:t>
              </a:r>
              <a:br>
                <a:rPr lang="en-US" sz="1600" b="1" i="0" u="none" strike="noStrike">
                  <a:solidFill>
                    <a:srgbClr val="66785F"/>
                  </a:solidFill>
                  <a:latin typeface="Aptos"/>
                </a:rPr>
              </a:br>
              <a:r>
                <a:rPr lang="en-US" sz="1400" b="1" i="0" u="none" strike="noStrike">
                  <a:solidFill>
                    <a:srgbClr val="66785F"/>
                  </a:solidFill>
                  <a:latin typeface="Aptos"/>
                </a:rPr>
                <a:t>Mohamed Whidy</a:t>
              </a:r>
              <a:endParaRPr lang="en-US" sz="1600" b="1" i="0" u="none" strike="noStrike">
                <a:solidFill>
                  <a:srgbClr val="66785F"/>
                </a:solidFill>
                <a:latin typeface="Aptos"/>
              </a:endParaRPr>
            </a:p>
          </xdr:txBody>
        </xdr:sp>
        <xdr:pic>
          <xdr:nvPicPr>
            <xdr:cNvPr id="39" name="Picture 38">
              <a:extLst>
                <a:ext uri="{FF2B5EF4-FFF2-40B4-BE49-F238E27FC236}">
                  <a16:creationId xmlns:a16="http://schemas.microsoft.com/office/drawing/2014/main" id="{4B8EE262-64D9-0424-C7C2-A5BC13739BE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19124" y="6553200"/>
              <a:ext cx="567341" cy="567341"/>
            </a:xfrm>
            <a:prstGeom prst="rect">
              <a:avLst/>
            </a:prstGeom>
          </xdr:spPr>
        </xdr:pic>
      </xdr:grpSp>
    </xdr:grpSp>
    <xdr:clientData/>
  </xdr:twoCellAnchor>
  <xdr:twoCellAnchor>
    <xdr:from>
      <xdr:col>2</xdr:col>
      <xdr:colOff>533398</xdr:colOff>
      <xdr:row>8</xdr:row>
      <xdr:rowOff>19050</xdr:rowOff>
    </xdr:from>
    <xdr:to>
      <xdr:col>19</xdr:col>
      <xdr:colOff>591825</xdr:colOff>
      <xdr:row>23</xdr:row>
      <xdr:rowOff>152400</xdr:rowOff>
    </xdr:to>
    <xdr:grpSp>
      <xdr:nvGrpSpPr>
        <xdr:cNvPr id="48" name="Group 47">
          <a:extLst>
            <a:ext uri="{FF2B5EF4-FFF2-40B4-BE49-F238E27FC236}">
              <a16:creationId xmlns:a16="http://schemas.microsoft.com/office/drawing/2014/main" id="{0447F33E-C2A7-ED56-4930-9DB69565733D}"/>
            </a:ext>
          </a:extLst>
        </xdr:cNvPr>
        <xdr:cNvGrpSpPr/>
      </xdr:nvGrpSpPr>
      <xdr:grpSpPr>
        <a:xfrm>
          <a:off x="1904998" y="1543050"/>
          <a:ext cx="11717027" cy="2990850"/>
          <a:chOff x="1924048" y="1352550"/>
          <a:chExt cx="11717027" cy="2916000"/>
        </a:xfrm>
      </xdr:grpSpPr>
      <xdr:grpSp>
        <xdr:nvGrpSpPr>
          <xdr:cNvPr id="45" name="Group 44">
            <a:extLst>
              <a:ext uri="{FF2B5EF4-FFF2-40B4-BE49-F238E27FC236}">
                <a16:creationId xmlns:a16="http://schemas.microsoft.com/office/drawing/2014/main" id="{276ECE97-6444-DD62-0E6C-9569B26F2715}"/>
              </a:ext>
            </a:extLst>
          </xdr:cNvPr>
          <xdr:cNvGrpSpPr/>
        </xdr:nvGrpSpPr>
        <xdr:grpSpPr>
          <a:xfrm>
            <a:off x="1924048" y="1352550"/>
            <a:ext cx="6588000" cy="2916000"/>
            <a:chOff x="1924048" y="1381125"/>
            <a:chExt cx="5857877" cy="3009900"/>
          </a:xfrm>
        </xdr:grpSpPr>
        <xdr:sp macro="" textlink="">
          <xdr:nvSpPr>
            <xdr:cNvPr id="6" name="Rectangle: Rounded Corners 5">
              <a:extLst>
                <a:ext uri="{FF2B5EF4-FFF2-40B4-BE49-F238E27FC236}">
                  <a16:creationId xmlns:a16="http://schemas.microsoft.com/office/drawing/2014/main" id="{4F02CBA5-9D5D-C7CB-3BA8-A869F07D170D}"/>
                </a:ext>
              </a:extLst>
            </xdr:cNvPr>
            <xdr:cNvSpPr/>
          </xdr:nvSpPr>
          <xdr:spPr>
            <a:xfrm>
              <a:off x="1924048" y="1381125"/>
              <a:ext cx="5857877" cy="3009900"/>
            </a:xfrm>
            <a:prstGeom prst="roundRect">
              <a:avLst>
                <a:gd name="adj" fmla="val 5180"/>
              </a:avLst>
            </a:prstGeom>
            <a:solidFill>
              <a:srgbClr val="EEEFE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a:solidFill>
                  <a:srgbClr val="66785F"/>
                </a:solidFill>
              </a:endParaRPr>
            </a:p>
          </xdr:txBody>
        </xdr:sp>
        <xdr:graphicFrame macro="">
          <xdr:nvGraphicFramePr>
            <xdr:cNvPr id="44" name="Chart 43">
              <a:extLst>
                <a:ext uri="{FF2B5EF4-FFF2-40B4-BE49-F238E27FC236}">
                  <a16:creationId xmlns:a16="http://schemas.microsoft.com/office/drawing/2014/main" id="{2ADBD016-EDB8-47E9-A80D-FEA56E3CBD1D}"/>
                </a:ext>
              </a:extLst>
            </xdr:cNvPr>
            <xdr:cNvGraphicFramePr>
              <a:graphicFrameLocks/>
            </xdr:cNvGraphicFramePr>
          </xdr:nvGraphicFramePr>
          <xdr:xfrm>
            <a:off x="2019300" y="1447800"/>
            <a:ext cx="5657850" cy="2857500"/>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47" name="Group 46">
            <a:extLst>
              <a:ext uri="{FF2B5EF4-FFF2-40B4-BE49-F238E27FC236}">
                <a16:creationId xmlns:a16="http://schemas.microsoft.com/office/drawing/2014/main" id="{D54D61D9-7B16-0D01-35AA-F66560492162}"/>
              </a:ext>
            </a:extLst>
          </xdr:cNvPr>
          <xdr:cNvGrpSpPr/>
        </xdr:nvGrpSpPr>
        <xdr:grpSpPr>
          <a:xfrm>
            <a:off x="8601075" y="1352550"/>
            <a:ext cx="5040000" cy="2916000"/>
            <a:chOff x="7867648" y="1352550"/>
            <a:chExt cx="5867402" cy="3076575"/>
          </a:xfrm>
        </xdr:grpSpPr>
        <xdr:sp macro="" textlink="">
          <xdr:nvSpPr>
            <xdr:cNvPr id="23" name="Rectangle: Rounded Corners 22">
              <a:extLst>
                <a:ext uri="{FF2B5EF4-FFF2-40B4-BE49-F238E27FC236}">
                  <a16:creationId xmlns:a16="http://schemas.microsoft.com/office/drawing/2014/main" id="{53A05A63-3AF6-C093-4011-128F06329D52}"/>
                </a:ext>
              </a:extLst>
            </xdr:cNvPr>
            <xdr:cNvSpPr/>
          </xdr:nvSpPr>
          <xdr:spPr>
            <a:xfrm>
              <a:off x="7867648" y="1352550"/>
              <a:ext cx="5867402" cy="3076575"/>
            </a:xfrm>
            <a:prstGeom prst="roundRect">
              <a:avLst>
                <a:gd name="adj" fmla="val 4987"/>
              </a:avLst>
            </a:prstGeom>
            <a:solidFill>
              <a:srgbClr val="EEEFE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a:solidFill>
                  <a:srgbClr val="66785F"/>
                </a:solidFill>
              </a:endParaRPr>
            </a:p>
          </xdr:txBody>
        </xdr:sp>
        <xdr:graphicFrame macro="">
          <xdr:nvGraphicFramePr>
            <xdr:cNvPr id="46" name="Chart 45">
              <a:extLst>
                <a:ext uri="{FF2B5EF4-FFF2-40B4-BE49-F238E27FC236}">
                  <a16:creationId xmlns:a16="http://schemas.microsoft.com/office/drawing/2014/main" id="{B7E9077C-96A0-4F5E-9EAF-9FDB3DE35B48}"/>
                </a:ext>
              </a:extLst>
            </xdr:cNvPr>
            <xdr:cNvGraphicFramePr>
              <a:graphicFrameLocks/>
            </xdr:cNvGraphicFramePr>
          </xdr:nvGraphicFramePr>
          <xdr:xfrm>
            <a:off x="7915276" y="1419225"/>
            <a:ext cx="5743574" cy="2924175"/>
          </xdr:xfrm>
          <a:graphic>
            <a:graphicData uri="http://schemas.openxmlformats.org/drawingml/2006/chart">
              <c:chart xmlns:c="http://schemas.openxmlformats.org/drawingml/2006/chart" xmlns:r="http://schemas.openxmlformats.org/officeDocument/2006/relationships" r:id="rId7"/>
            </a:graphicData>
          </a:graphic>
        </xdr:graphicFrame>
      </xdr:grpSp>
    </xdr:grpSp>
    <xdr:clientData/>
  </xdr:twoCellAnchor>
  <xdr:twoCellAnchor>
    <xdr:from>
      <xdr:col>2</xdr:col>
      <xdr:colOff>523872</xdr:colOff>
      <xdr:row>24</xdr:row>
      <xdr:rowOff>95250</xdr:rowOff>
    </xdr:from>
    <xdr:to>
      <xdr:col>19</xdr:col>
      <xdr:colOff>649648</xdr:colOff>
      <xdr:row>41</xdr:row>
      <xdr:rowOff>21524</xdr:rowOff>
    </xdr:to>
    <xdr:grpSp>
      <xdr:nvGrpSpPr>
        <xdr:cNvPr id="55" name="Group 54">
          <a:extLst>
            <a:ext uri="{FF2B5EF4-FFF2-40B4-BE49-F238E27FC236}">
              <a16:creationId xmlns:a16="http://schemas.microsoft.com/office/drawing/2014/main" id="{DA06D403-C766-8F23-FBCD-5845146E641D}"/>
            </a:ext>
          </a:extLst>
        </xdr:cNvPr>
        <xdr:cNvGrpSpPr/>
      </xdr:nvGrpSpPr>
      <xdr:grpSpPr>
        <a:xfrm>
          <a:off x="1895472" y="4667250"/>
          <a:ext cx="11784376" cy="3164774"/>
          <a:chOff x="1895472" y="4772024"/>
          <a:chExt cx="11784376" cy="3060000"/>
        </a:xfrm>
      </xdr:grpSpPr>
      <xdr:grpSp>
        <xdr:nvGrpSpPr>
          <xdr:cNvPr id="54" name="Group 53">
            <a:extLst>
              <a:ext uri="{FF2B5EF4-FFF2-40B4-BE49-F238E27FC236}">
                <a16:creationId xmlns:a16="http://schemas.microsoft.com/office/drawing/2014/main" id="{DE181F80-CE03-EC2E-0CA9-0728D131A41C}"/>
              </a:ext>
            </a:extLst>
          </xdr:cNvPr>
          <xdr:cNvGrpSpPr/>
        </xdr:nvGrpSpPr>
        <xdr:grpSpPr>
          <a:xfrm>
            <a:off x="9467848" y="4772024"/>
            <a:ext cx="4212000" cy="3060000"/>
            <a:chOff x="9372598" y="4381501"/>
            <a:chExt cx="4229102" cy="2905124"/>
          </a:xfrm>
        </xdr:grpSpPr>
        <xdr:sp macro="" textlink="">
          <xdr:nvSpPr>
            <xdr:cNvPr id="12" name="Rectangle: Rounded Corners 11">
              <a:extLst>
                <a:ext uri="{FF2B5EF4-FFF2-40B4-BE49-F238E27FC236}">
                  <a16:creationId xmlns:a16="http://schemas.microsoft.com/office/drawing/2014/main" id="{FD4543B7-AD77-AADE-FDFE-AE4317BC71AD}"/>
                </a:ext>
              </a:extLst>
            </xdr:cNvPr>
            <xdr:cNvSpPr/>
          </xdr:nvSpPr>
          <xdr:spPr>
            <a:xfrm>
              <a:off x="9372598" y="4381501"/>
              <a:ext cx="4229102" cy="2905124"/>
            </a:xfrm>
            <a:prstGeom prst="roundRect">
              <a:avLst>
                <a:gd name="adj" fmla="val 4986"/>
              </a:avLst>
            </a:prstGeom>
            <a:solidFill>
              <a:srgbClr val="EEEFE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a:solidFill>
                  <a:srgbClr val="66785F"/>
                </a:solidFill>
              </a:endParaRPr>
            </a:p>
          </xdr:txBody>
        </xdr:sp>
        <xdr:graphicFrame macro="">
          <xdr:nvGraphicFramePr>
            <xdr:cNvPr id="49" name="Chart 48">
              <a:extLst>
                <a:ext uri="{FF2B5EF4-FFF2-40B4-BE49-F238E27FC236}">
                  <a16:creationId xmlns:a16="http://schemas.microsoft.com/office/drawing/2014/main" id="{D0E55B42-4263-40DB-930A-36D995B47828}"/>
                </a:ext>
              </a:extLst>
            </xdr:cNvPr>
            <xdr:cNvGraphicFramePr>
              <a:graphicFrameLocks/>
            </xdr:cNvGraphicFramePr>
          </xdr:nvGraphicFramePr>
          <xdr:xfrm>
            <a:off x="9467850" y="4476749"/>
            <a:ext cx="4029075" cy="2743201"/>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52" name="Group 51">
            <a:extLst>
              <a:ext uri="{FF2B5EF4-FFF2-40B4-BE49-F238E27FC236}">
                <a16:creationId xmlns:a16="http://schemas.microsoft.com/office/drawing/2014/main" id="{2101B541-D2C6-3F98-8874-54667C208BAE}"/>
              </a:ext>
            </a:extLst>
          </xdr:cNvPr>
          <xdr:cNvGrpSpPr/>
        </xdr:nvGrpSpPr>
        <xdr:grpSpPr>
          <a:xfrm>
            <a:off x="5681660" y="4772024"/>
            <a:ext cx="3600000" cy="3060000"/>
            <a:chOff x="5610225" y="4429125"/>
            <a:chExt cx="3514725" cy="2667000"/>
          </a:xfrm>
        </xdr:grpSpPr>
        <xdr:sp macro="" textlink="">
          <xdr:nvSpPr>
            <xdr:cNvPr id="17" name="Rectangle: Rounded Corners 16">
              <a:extLst>
                <a:ext uri="{FF2B5EF4-FFF2-40B4-BE49-F238E27FC236}">
                  <a16:creationId xmlns:a16="http://schemas.microsoft.com/office/drawing/2014/main" id="{BFDD4638-445F-E8A0-FB24-9FC0370AA655}"/>
                </a:ext>
              </a:extLst>
            </xdr:cNvPr>
            <xdr:cNvSpPr/>
          </xdr:nvSpPr>
          <xdr:spPr>
            <a:xfrm>
              <a:off x="5610225" y="4429125"/>
              <a:ext cx="3514725" cy="2667000"/>
            </a:xfrm>
            <a:prstGeom prst="roundRect">
              <a:avLst>
                <a:gd name="adj" fmla="val 4310"/>
              </a:avLst>
            </a:prstGeom>
            <a:solidFill>
              <a:srgbClr val="EEEFE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a:solidFill>
                  <a:srgbClr val="66785F"/>
                </a:solidFill>
              </a:endParaRPr>
            </a:p>
          </xdr:txBody>
        </xdr:sp>
        <xdr:graphicFrame macro="">
          <xdr:nvGraphicFramePr>
            <xdr:cNvPr id="50" name="Chart 49">
              <a:extLst>
                <a:ext uri="{FF2B5EF4-FFF2-40B4-BE49-F238E27FC236}">
                  <a16:creationId xmlns:a16="http://schemas.microsoft.com/office/drawing/2014/main" id="{5E829F57-1F76-4E93-BB5E-D0167CADA2D3}"/>
                </a:ext>
              </a:extLst>
            </xdr:cNvPr>
            <xdr:cNvGraphicFramePr>
              <a:graphicFrameLocks/>
            </xdr:cNvGraphicFramePr>
          </xdr:nvGraphicFramePr>
          <xdr:xfrm>
            <a:off x="5714999" y="4505325"/>
            <a:ext cx="3324225" cy="2476500"/>
          </xdr:xfrm>
          <a:graphic>
            <a:graphicData uri="http://schemas.openxmlformats.org/drawingml/2006/chart">
              <c:chart xmlns:c="http://schemas.openxmlformats.org/drawingml/2006/chart" xmlns:r="http://schemas.openxmlformats.org/officeDocument/2006/relationships" r:id="rId9"/>
            </a:graphicData>
          </a:graphic>
        </xdr:graphicFrame>
      </xdr:grpSp>
      <xdr:grpSp>
        <xdr:nvGrpSpPr>
          <xdr:cNvPr id="53" name="Group 52">
            <a:extLst>
              <a:ext uri="{FF2B5EF4-FFF2-40B4-BE49-F238E27FC236}">
                <a16:creationId xmlns:a16="http://schemas.microsoft.com/office/drawing/2014/main" id="{F9226076-DB26-1598-E541-31CCD6D5AC8F}"/>
              </a:ext>
            </a:extLst>
          </xdr:cNvPr>
          <xdr:cNvGrpSpPr/>
        </xdr:nvGrpSpPr>
        <xdr:grpSpPr>
          <a:xfrm>
            <a:off x="1895472" y="4772024"/>
            <a:ext cx="3600000" cy="3060000"/>
            <a:chOff x="1990723" y="4419600"/>
            <a:chExt cx="3514727" cy="2847975"/>
          </a:xfrm>
        </xdr:grpSpPr>
        <xdr:sp macro="" textlink="">
          <xdr:nvSpPr>
            <xdr:cNvPr id="21" name="Rectangle: Rounded Corners 20">
              <a:extLst>
                <a:ext uri="{FF2B5EF4-FFF2-40B4-BE49-F238E27FC236}">
                  <a16:creationId xmlns:a16="http://schemas.microsoft.com/office/drawing/2014/main" id="{1F5F8FFD-3FF3-3287-B69A-4A2E255D0E1A}"/>
                </a:ext>
              </a:extLst>
            </xdr:cNvPr>
            <xdr:cNvSpPr/>
          </xdr:nvSpPr>
          <xdr:spPr>
            <a:xfrm>
              <a:off x="1990723" y="4419600"/>
              <a:ext cx="3514727" cy="2847975"/>
            </a:xfrm>
            <a:prstGeom prst="roundRect">
              <a:avLst>
                <a:gd name="adj" fmla="val 3871"/>
              </a:avLst>
            </a:prstGeom>
            <a:solidFill>
              <a:srgbClr val="EEEFE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a:solidFill>
                  <a:srgbClr val="66785F"/>
                </a:solidFill>
              </a:endParaRPr>
            </a:p>
          </xdr:txBody>
        </xdr:sp>
        <xdr:graphicFrame macro="">
          <xdr:nvGraphicFramePr>
            <xdr:cNvPr id="51" name="Chart 50">
              <a:extLst>
                <a:ext uri="{FF2B5EF4-FFF2-40B4-BE49-F238E27FC236}">
                  <a16:creationId xmlns:a16="http://schemas.microsoft.com/office/drawing/2014/main" id="{6B8E64B9-428B-4F1B-83D7-521D3BB70157}"/>
                </a:ext>
              </a:extLst>
            </xdr:cNvPr>
            <xdr:cNvGraphicFramePr>
              <a:graphicFrameLocks/>
            </xdr:cNvGraphicFramePr>
          </xdr:nvGraphicFramePr>
          <xdr:xfrm>
            <a:off x="2038351" y="4486276"/>
            <a:ext cx="3381374" cy="2695574"/>
          </xdr:xfrm>
          <a:graphic>
            <a:graphicData uri="http://schemas.openxmlformats.org/drawingml/2006/chart">
              <c:chart xmlns:c="http://schemas.openxmlformats.org/drawingml/2006/chart" xmlns:r="http://schemas.openxmlformats.org/officeDocument/2006/relationships" r:id="rId10"/>
            </a:graphicData>
          </a:graphic>
        </xdr:graphicFrame>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1.708824652778" createdVersion="8" refreshedVersion="8" minRefreshableVersion="3" recordCount="1000" xr:uid="{3C241810-A1D4-4C45-B468-BC9B1FA16FB5}">
  <cacheSource type="worksheet">
    <worksheetSource name="calls"/>
  </cacheSource>
  <cacheFields count="14">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City" numFmtId="0">
      <sharedItems count="3">
        <s v="Cincinnati"/>
        <s v="Columbus"/>
        <s v="Cleveland"/>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Year" numFmtId="0">
      <sharedItems containsSemiMixedTypes="0" containsString="0" containsNumber="1" containsInteger="1" minValue="2023" maxValue="2024"/>
    </cacheField>
    <cacheField name="Day of week" numFmtId="0">
      <sharedItems count="7">
        <s v="الأحد"/>
        <s v="الإثنين"/>
        <s v="الثلاثاء"/>
        <s v="الأربعاء"/>
        <s v="الخميس"/>
        <s v="الجمعة"/>
        <s v="السبت"/>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acheField>
    <cacheField name="Days (Date of Call)" numFmtId="0" databaseField="0">
      <fieldGroup base="5">
        <rangePr groupBy="days" startDate="2023-01-01T00:00:00" endDate="2024-01-01T00:00:00"/>
        <groupItems count="368">
          <s v="&lt;01/01/2023"/>
          <s v="01-يناير"/>
          <s v="02-يناير"/>
          <s v="03-يناير"/>
          <s v="04-يناير"/>
          <s v="05-يناير"/>
          <s v="06-يناير"/>
          <s v="07-يناير"/>
          <s v="08-يناير"/>
          <s v="09-يناير"/>
          <s v="10-يناير"/>
          <s v="11-يناير"/>
          <s v="12-يناير"/>
          <s v="13-يناير"/>
          <s v="14-يناير"/>
          <s v="15-يناير"/>
          <s v="16-يناير"/>
          <s v="17-يناير"/>
          <s v="18-يناير"/>
          <s v="19-يناير"/>
          <s v="20-يناير"/>
          <s v="21-يناير"/>
          <s v="22-يناير"/>
          <s v="23-يناير"/>
          <s v="24-يناير"/>
          <s v="25-يناير"/>
          <s v="26-يناير"/>
          <s v="27-يناير"/>
          <s v="28-يناير"/>
          <s v="29-يناير"/>
          <s v="30-يناير"/>
          <s v="31-يناير"/>
          <s v="01-فبراير"/>
          <s v="02-فبراير"/>
          <s v="03-فبراير"/>
          <s v="04-فبراير"/>
          <s v="05-فبراير"/>
          <s v="06-فبراير"/>
          <s v="07-فبراير"/>
          <s v="08-فبراير"/>
          <s v="09-فبراير"/>
          <s v="10-فبراير"/>
          <s v="11-فبراير"/>
          <s v="12-فبراير"/>
          <s v="13-فبراير"/>
          <s v="14-فبراير"/>
          <s v="15-فبراير"/>
          <s v="16-فبراير"/>
          <s v="17-فبراير"/>
          <s v="18-فبراير"/>
          <s v="19-فبراير"/>
          <s v="20-فبراير"/>
          <s v="21-فبراير"/>
          <s v="22-فبراير"/>
          <s v="23-فبراير"/>
          <s v="24-فبراير"/>
          <s v="25-فبراير"/>
          <s v="26-فبراير"/>
          <s v="27-فبراير"/>
          <s v="28-فبراير"/>
          <s v="29-فبراير"/>
          <s v="01-مارس"/>
          <s v="02-مارس"/>
          <s v="03-مارس"/>
          <s v="04-مارس"/>
          <s v="05-مارس"/>
          <s v="06-مارس"/>
          <s v="07-مارس"/>
          <s v="08-مارس"/>
          <s v="09-مارس"/>
          <s v="10-مارس"/>
          <s v="11-مارس"/>
          <s v="12-مارس"/>
          <s v="13-مارس"/>
          <s v="14-مارس"/>
          <s v="15-مارس"/>
          <s v="16-مارس"/>
          <s v="17-مارس"/>
          <s v="18-مارس"/>
          <s v="19-مارس"/>
          <s v="20-مارس"/>
          <s v="21-مارس"/>
          <s v="22-مارس"/>
          <s v="23-مارس"/>
          <s v="24-مارس"/>
          <s v="25-مارس"/>
          <s v="26-مارس"/>
          <s v="27-مارس"/>
          <s v="28-مارس"/>
          <s v="29-مارس"/>
          <s v="30-مارس"/>
          <s v="31-مارس"/>
          <s v="01-أبريل"/>
          <s v="02-أبريل"/>
          <s v="03-أبريل"/>
          <s v="04-أبريل"/>
          <s v="05-أبريل"/>
          <s v="06-أبريل"/>
          <s v="07-أبريل"/>
          <s v="08-أبريل"/>
          <s v="09-أبريل"/>
          <s v="10-أبريل"/>
          <s v="11-أبريل"/>
          <s v="12-أبريل"/>
          <s v="13-أبريل"/>
          <s v="14-أبريل"/>
          <s v="15-أبريل"/>
          <s v="16-أبريل"/>
          <s v="17-أبريل"/>
          <s v="18-أبريل"/>
          <s v="19-أبريل"/>
          <s v="20-أبريل"/>
          <s v="21-أبريل"/>
          <s v="22-أبريل"/>
          <s v="23-أبريل"/>
          <s v="24-أبريل"/>
          <s v="25-أبريل"/>
          <s v="26-أبريل"/>
          <s v="27-أبريل"/>
          <s v="28-أبريل"/>
          <s v="29-أبريل"/>
          <s v="30-أبريل"/>
          <s v="01-مايو"/>
          <s v="02-مايو"/>
          <s v="03-مايو"/>
          <s v="04-مايو"/>
          <s v="05-مايو"/>
          <s v="06-مايو"/>
          <s v="07-مايو"/>
          <s v="08-مايو"/>
          <s v="09-مايو"/>
          <s v="10-مايو"/>
          <s v="11-مايو"/>
          <s v="12-مايو"/>
          <s v="13-مايو"/>
          <s v="14-مايو"/>
          <s v="15-مايو"/>
          <s v="16-مايو"/>
          <s v="17-مايو"/>
          <s v="18-مايو"/>
          <s v="19-مايو"/>
          <s v="20-مايو"/>
          <s v="21-مايو"/>
          <s v="22-مايو"/>
          <s v="23-مايو"/>
          <s v="24-مايو"/>
          <s v="25-مايو"/>
          <s v="26-مايو"/>
          <s v="27-مايو"/>
          <s v="28-مايو"/>
          <s v="29-مايو"/>
          <s v="30-مايو"/>
          <s v="31-مايو"/>
          <s v="01-يونيو"/>
          <s v="02-يونيو"/>
          <s v="03-يونيو"/>
          <s v="04-يونيو"/>
          <s v="05-يونيو"/>
          <s v="06-يونيو"/>
          <s v="07-يونيو"/>
          <s v="08-يونيو"/>
          <s v="09-يونيو"/>
          <s v="10-يونيو"/>
          <s v="11-يونيو"/>
          <s v="12-يونيو"/>
          <s v="13-يونيو"/>
          <s v="14-يونيو"/>
          <s v="15-يونيو"/>
          <s v="16-يونيو"/>
          <s v="17-يونيو"/>
          <s v="18-يونيو"/>
          <s v="19-يونيو"/>
          <s v="20-يونيو"/>
          <s v="21-يونيو"/>
          <s v="22-يونيو"/>
          <s v="23-يونيو"/>
          <s v="24-يونيو"/>
          <s v="25-يونيو"/>
          <s v="26-يونيو"/>
          <s v="27-يونيو"/>
          <s v="28-يونيو"/>
          <s v="29-يونيو"/>
          <s v="30-يونيو"/>
          <s v="01-يوليو"/>
          <s v="02-يوليو"/>
          <s v="03-يوليو"/>
          <s v="04-يوليو"/>
          <s v="05-يوليو"/>
          <s v="06-يوليو"/>
          <s v="07-يوليو"/>
          <s v="08-يوليو"/>
          <s v="09-يوليو"/>
          <s v="10-يوليو"/>
          <s v="11-يوليو"/>
          <s v="12-يوليو"/>
          <s v="13-يوليو"/>
          <s v="14-يوليو"/>
          <s v="15-يوليو"/>
          <s v="16-يوليو"/>
          <s v="17-يوليو"/>
          <s v="18-يوليو"/>
          <s v="19-يوليو"/>
          <s v="20-يوليو"/>
          <s v="21-يوليو"/>
          <s v="22-يوليو"/>
          <s v="23-يوليو"/>
          <s v="24-يوليو"/>
          <s v="25-يوليو"/>
          <s v="26-يوليو"/>
          <s v="27-يوليو"/>
          <s v="28-يوليو"/>
          <s v="29-يوليو"/>
          <s v="30-يوليو"/>
          <s v="31-يوليو"/>
          <s v="01-أغسطس"/>
          <s v="02-أغسطس"/>
          <s v="03-أغسطس"/>
          <s v="04-أغسطس"/>
          <s v="05-أغسطس"/>
          <s v="06-أغسطس"/>
          <s v="07-أغسطس"/>
          <s v="08-أغسطس"/>
          <s v="09-أغسطس"/>
          <s v="10-أغسطس"/>
          <s v="11-أغسطس"/>
          <s v="12-أغسطس"/>
          <s v="13-أغسطس"/>
          <s v="14-أغسطس"/>
          <s v="15-أغسطس"/>
          <s v="16-أغسطس"/>
          <s v="17-أغسطس"/>
          <s v="18-أغسطس"/>
          <s v="19-أغسطس"/>
          <s v="20-أغسطس"/>
          <s v="21-أغسطس"/>
          <s v="22-أغسطس"/>
          <s v="23-أغسطس"/>
          <s v="24-أغسطس"/>
          <s v="25-أغسطس"/>
          <s v="26-أغسطس"/>
          <s v="27-أغسطس"/>
          <s v="28-أغسطس"/>
          <s v="29-أغسطس"/>
          <s v="30-أغسطس"/>
          <s v="31-أغسطس"/>
          <s v="01-سبتمبر"/>
          <s v="02-سبتمبر"/>
          <s v="03-سبتمبر"/>
          <s v="04-سبتمبر"/>
          <s v="05-سبتمبر"/>
          <s v="06-سبتمبر"/>
          <s v="07-سبتمبر"/>
          <s v="08-سبتمبر"/>
          <s v="09-سبتمبر"/>
          <s v="10-سبتمبر"/>
          <s v="11-سبتمبر"/>
          <s v="12-سبتمبر"/>
          <s v="13-سبتمبر"/>
          <s v="14-سبتمبر"/>
          <s v="15-سبتمبر"/>
          <s v="16-سبتمبر"/>
          <s v="17-سبتمبر"/>
          <s v="18-سبتمبر"/>
          <s v="19-سبتمبر"/>
          <s v="20-سبتمبر"/>
          <s v="21-سبتمبر"/>
          <s v="22-سبتمبر"/>
          <s v="23-سبتمبر"/>
          <s v="24-سبتمبر"/>
          <s v="25-سبتمبر"/>
          <s v="26-سبتمبر"/>
          <s v="27-سبتمبر"/>
          <s v="28-سبتمبر"/>
          <s v="29-سبتمبر"/>
          <s v="30-سبتمبر"/>
          <s v="01-أكتوبر"/>
          <s v="02-أكتوبر"/>
          <s v="03-أكتوبر"/>
          <s v="04-أكتوبر"/>
          <s v="05-أكتوبر"/>
          <s v="06-أكتوبر"/>
          <s v="07-أكتوبر"/>
          <s v="08-أكتوبر"/>
          <s v="09-أكتوبر"/>
          <s v="10-أكتوبر"/>
          <s v="11-أكتوبر"/>
          <s v="12-أكتوبر"/>
          <s v="13-أكتوبر"/>
          <s v="14-أكتوبر"/>
          <s v="15-أكتوبر"/>
          <s v="16-أكتوبر"/>
          <s v="17-أكتوبر"/>
          <s v="18-أكتوبر"/>
          <s v="19-أكتوبر"/>
          <s v="20-أكتوبر"/>
          <s v="21-أكتوبر"/>
          <s v="22-أكتوبر"/>
          <s v="23-أكتوبر"/>
          <s v="24-أكتوبر"/>
          <s v="25-أكتوبر"/>
          <s v="26-أكتوبر"/>
          <s v="27-أكتوبر"/>
          <s v="28-أكتوبر"/>
          <s v="29-أكتوبر"/>
          <s v="30-أكتوبر"/>
          <s v="31-أكتوبر"/>
          <s v="01-نوفمبر"/>
          <s v="02-نوفمبر"/>
          <s v="03-نوفمبر"/>
          <s v="04-نوفمبر"/>
          <s v="05-نوفمبر"/>
          <s v="06-نوفمبر"/>
          <s v="07-نوفمبر"/>
          <s v="08-نوفمبر"/>
          <s v="09-نوفمبر"/>
          <s v="10-نوفمبر"/>
          <s v="11-نوفمبر"/>
          <s v="12-نوفمبر"/>
          <s v="13-نوفمبر"/>
          <s v="14-نوفمبر"/>
          <s v="15-نوفمبر"/>
          <s v="16-نوفمبر"/>
          <s v="17-نوفمبر"/>
          <s v="18-نوفمبر"/>
          <s v="19-نوفمبر"/>
          <s v="20-نوفمبر"/>
          <s v="21-نوفمبر"/>
          <s v="22-نوفمبر"/>
          <s v="23-نوفمبر"/>
          <s v="24-نوفمبر"/>
          <s v="25-نوفمبر"/>
          <s v="26-نوفمبر"/>
          <s v="27-نوفمبر"/>
          <s v="28-نوفمبر"/>
          <s v="29-نوفمبر"/>
          <s v="30-نوفمبر"/>
          <s v="01-ديسمبر"/>
          <s v="02-ديسمبر"/>
          <s v="03-ديسمبر"/>
          <s v="04-ديسمبر"/>
          <s v="05-ديسمبر"/>
          <s v="06-ديسمبر"/>
          <s v="07-ديسمبر"/>
          <s v="08-ديسمبر"/>
          <s v="09-ديسمبر"/>
          <s v="10-ديسمبر"/>
          <s v="11-ديسمبر"/>
          <s v="12-ديسمبر"/>
          <s v="13-ديسمبر"/>
          <s v="14-ديسمبر"/>
          <s v="15-ديسمبر"/>
          <s v="16-ديسمبر"/>
          <s v="17-ديسمبر"/>
          <s v="18-ديسمبر"/>
          <s v="19-ديسمبر"/>
          <s v="20-ديسمبر"/>
          <s v="21-ديسمبر"/>
          <s v="22-ديسمبر"/>
          <s v="23-ديسمبر"/>
          <s v="24-ديسمبر"/>
          <s v="25-ديسمبر"/>
          <s v="26-ديسمبر"/>
          <s v="27-ديسمبر"/>
          <s v="28-ديسمبر"/>
          <s v="29-ديسمبر"/>
          <s v="30-ديسمبر"/>
          <s v="31-ديسمبر"/>
          <s v="&gt;01/01/2024"/>
        </groupItems>
      </fieldGroup>
    </cacheField>
    <cacheField name="Months (Date of Call)" numFmtId="0" databaseField="0">
      <fieldGroup base="5">
        <rangePr groupBy="months" startDate="2023-01-01T00:00:00" endDate="2024-01-01T00:00:00"/>
        <groupItems count="14">
          <s v="&lt;01/01/2023"/>
          <s v="يناير"/>
          <s v="فبراير"/>
          <s v="مارس"/>
          <s v="أبريل"/>
          <s v="مايو"/>
          <s v="يونيو"/>
          <s v="يوليو"/>
          <s v="أغسطس"/>
          <s v="سبتمبر"/>
          <s v="أكتوبر"/>
          <s v="نوفمبر"/>
          <s v="ديسمبر"/>
          <s v="&gt;01/01/2024"/>
        </groupItems>
      </fieldGroup>
    </cacheField>
  </cacheFields>
  <extLst>
    <ext xmlns:x14="http://schemas.microsoft.com/office/spreadsheetml/2009/9/main" uri="{725AE2AE-9491-48be-B2B4-4EB974FC3084}">
      <x14:pivotCacheDefinition pivotCacheId="285403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n v="116"/>
    <x v="0"/>
    <x v="0"/>
    <n v="128"/>
    <n v="4.9000000000000004"/>
    <n v="2023"/>
    <x v="0"/>
    <x v="0"/>
    <n v="5"/>
  </r>
  <r>
    <s v="Call_7272"/>
    <x v="1"/>
    <x v="0"/>
    <n v="119"/>
    <x v="0"/>
    <x v="0"/>
    <n v="135"/>
    <n v="2.9"/>
    <n v="2023"/>
    <x v="0"/>
    <x v="0"/>
    <n v="3"/>
  </r>
  <r>
    <s v="Call_7273"/>
    <x v="2"/>
    <x v="1"/>
    <n v="68"/>
    <x v="1"/>
    <x v="0"/>
    <n v="66"/>
    <n v="4.7"/>
    <n v="2023"/>
    <x v="0"/>
    <x v="0"/>
    <n v="5"/>
  </r>
  <r>
    <s v="Call_7274"/>
    <x v="3"/>
    <x v="1"/>
    <n v="119"/>
    <x v="1"/>
    <x v="0"/>
    <n v="22"/>
    <n v="2.9"/>
    <n v="2023"/>
    <x v="0"/>
    <x v="0"/>
    <n v="3"/>
  </r>
  <r>
    <s v="Call_7275"/>
    <x v="4"/>
    <x v="0"/>
    <n v="128"/>
    <x v="2"/>
    <x v="1"/>
    <n v="31"/>
    <n v="2.8"/>
    <n v="2023"/>
    <x v="1"/>
    <x v="1"/>
    <n v="3"/>
  </r>
  <r>
    <s v="Call_7276"/>
    <x v="4"/>
    <x v="0"/>
    <n v="49"/>
    <x v="1"/>
    <x v="2"/>
    <n v="135"/>
    <n v="4.8"/>
    <n v="2023"/>
    <x v="2"/>
    <x v="2"/>
    <n v="5"/>
  </r>
  <r>
    <s v="Call_7277"/>
    <x v="5"/>
    <x v="2"/>
    <n v="84"/>
    <x v="0"/>
    <x v="2"/>
    <n v="60"/>
    <n v="4.7"/>
    <n v="2023"/>
    <x v="2"/>
    <x v="0"/>
    <n v="5"/>
  </r>
  <r>
    <s v="Call_7278"/>
    <x v="0"/>
    <x v="0"/>
    <n v="103"/>
    <x v="3"/>
    <x v="2"/>
    <n v="148"/>
    <n v="4.4000000000000004"/>
    <n v="2023"/>
    <x v="2"/>
    <x v="0"/>
    <n v="4"/>
  </r>
  <r>
    <s v="Call_7279"/>
    <x v="2"/>
    <x v="1"/>
    <n v="31"/>
    <x v="1"/>
    <x v="2"/>
    <n v="135"/>
    <n v="3.6"/>
    <n v="2023"/>
    <x v="2"/>
    <x v="2"/>
    <n v="4"/>
  </r>
  <r>
    <s v="Call_7280"/>
    <x v="6"/>
    <x v="2"/>
    <n v="44"/>
    <x v="4"/>
    <x v="2"/>
    <n v="105"/>
    <n v="2.9"/>
    <n v="2023"/>
    <x v="2"/>
    <x v="2"/>
    <n v="3"/>
  </r>
  <r>
    <s v="Call_7281"/>
    <x v="4"/>
    <x v="0"/>
    <n v="102"/>
    <x v="1"/>
    <x v="2"/>
    <n v="69"/>
    <n v="4.9000000000000004"/>
    <n v="2023"/>
    <x v="2"/>
    <x v="0"/>
    <n v="5"/>
  </r>
  <r>
    <s v="Call_7282"/>
    <x v="7"/>
    <x v="2"/>
    <n v="135"/>
    <x v="0"/>
    <x v="2"/>
    <n v="46"/>
    <n v="3.4"/>
    <n v="2023"/>
    <x v="2"/>
    <x v="1"/>
    <n v="3"/>
  </r>
  <r>
    <s v="Call_7283"/>
    <x v="8"/>
    <x v="2"/>
    <n v="98"/>
    <x v="1"/>
    <x v="3"/>
    <n v="108"/>
    <n v="3.5"/>
    <n v="2023"/>
    <x v="3"/>
    <x v="0"/>
    <n v="4"/>
  </r>
  <r>
    <s v="Call_7284"/>
    <x v="6"/>
    <x v="2"/>
    <n v="139"/>
    <x v="1"/>
    <x v="3"/>
    <n v="96"/>
    <n v="4"/>
    <n v="2023"/>
    <x v="3"/>
    <x v="1"/>
    <n v="4"/>
  </r>
  <r>
    <s v="Call_7285"/>
    <x v="7"/>
    <x v="2"/>
    <n v="48"/>
    <x v="2"/>
    <x v="3"/>
    <n v="68"/>
    <n v="4.9000000000000004"/>
    <n v="2023"/>
    <x v="3"/>
    <x v="2"/>
    <n v="5"/>
  </r>
  <r>
    <s v="Call_7286"/>
    <x v="6"/>
    <x v="2"/>
    <n v="176"/>
    <x v="0"/>
    <x v="4"/>
    <n v="24"/>
    <n v="4.8"/>
    <n v="2023"/>
    <x v="4"/>
    <x v="1"/>
    <n v="5"/>
  </r>
  <r>
    <s v="Call_7287"/>
    <x v="6"/>
    <x v="2"/>
    <n v="99"/>
    <x v="2"/>
    <x v="4"/>
    <n v="195"/>
    <n v="3.9"/>
    <n v="2023"/>
    <x v="4"/>
    <x v="0"/>
    <n v="4"/>
  </r>
  <r>
    <s v="Call_7288"/>
    <x v="9"/>
    <x v="1"/>
    <n v="28"/>
    <x v="4"/>
    <x v="4"/>
    <n v="28"/>
    <n v="3.8"/>
    <n v="2023"/>
    <x v="4"/>
    <x v="3"/>
    <n v="4"/>
  </r>
  <r>
    <s v="Call_7289"/>
    <x v="5"/>
    <x v="2"/>
    <n v="54"/>
    <x v="1"/>
    <x v="4"/>
    <n v="170"/>
    <n v="4.3"/>
    <n v="2023"/>
    <x v="4"/>
    <x v="2"/>
    <n v="4"/>
  </r>
  <r>
    <s v="Call_7290"/>
    <x v="10"/>
    <x v="1"/>
    <n v="48"/>
    <x v="0"/>
    <x v="5"/>
    <n v="30"/>
    <n v="4.4000000000000004"/>
    <n v="2023"/>
    <x v="5"/>
    <x v="2"/>
    <n v="4"/>
  </r>
  <r>
    <s v="Call_7291"/>
    <x v="1"/>
    <x v="0"/>
    <n v="128"/>
    <x v="0"/>
    <x v="5"/>
    <n v="72"/>
    <n v="5"/>
    <n v="2023"/>
    <x v="5"/>
    <x v="1"/>
    <n v="5"/>
  </r>
  <r>
    <s v="Call_7292"/>
    <x v="1"/>
    <x v="0"/>
    <n v="38"/>
    <x v="3"/>
    <x v="6"/>
    <n v="92"/>
    <n v="4.9000000000000004"/>
    <n v="2023"/>
    <x v="6"/>
    <x v="2"/>
    <n v="5"/>
  </r>
  <r>
    <s v="Call_7293"/>
    <x v="0"/>
    <x v="0"/>
    <n v="67"/>
    <x v="3"/>
    <x v="7"/>
    <n v="165"/>
    <n v="4.5"/>
    <n v="2023"/>
    <x v="0"/>
    <x v="0"/>
    <n v="5"/>
  </r>
  <r>
    <s v="Call_7294"/>
    <x v="11"/>
    <x v="2"/>
    <n v="58"/>
    <x v="1"/>
    <x v="7"/>
    <n v="140"/>
    <n v="2.1"/>
    <n v="2023"/>
    <x v="0"/>
    <x v="2"/>
    <n v="2"/>
  </r>
  <r>
    <s v="Call_7295"/>
    <x v="6"/>
    <x v="2"/>
    <n v="54"/>
    <x v="2"/>
    <x v="7"/>
    <n v="111"/>
    <n v="3.3"/>
    <n v="2023"/>
    <x v="0"/>
    <x v="2"/>
    <n v="3"/>
  </r>
  <r>
    <s v="Call_7296"/>
    <x v="12"/>
    <x v="0"/>
    <n v="28"/>
    <x v="0"/>
    <x v="8"/>
    <n v="63"/>
    <n v="4.0999999999999996"/>
    <n v="2023"/>
    <x v="1"/>
    <x v="3"/>
    <n v="4"/>
  </r>
  <r>
    <s v="Call_7297"/>
    <x v="8"/>
    <x v="2"/>
    <n v="73"/>
    <x v="0"/>
    <x v="8"/>
    <n v="80"/>
    <n v="4.2"/>
    <n v="2023"/>
    <x v="1"/>
    <x v="0"/>
    <n v="4"/>
  </r>
  <r>
    <s v="Call_7298"/>
    <x v="4"/>
    <x v="0"/>
    <n v="81"/>
    <x v="0"/>
    <x v="9"/>
    <n v="50"/>
    <n v="4.5999999999999996"/>
    <n v="2023"/>
    <x v="2"/>
    <x v="0"/>
    <n v="5"/>
  </r>
  <r>
    <s v="Call_7299"/>
    <x v="9"/>
    <x v="1"/>
    <n v="31"/>
    <x v="3"/>
    <x v="9"/>
    <n v="123"/>
    <n v="2.9"/>
    <n v="2023"/>
    <x v="2"/>
    <x v="2"/>
    <n v="3"/>
  </r>
  <r>
    <s v="Call_7300"/>
    <x v="11"/>
    <x v="2"/>
    <n v="155"/>
    <x v="2"/>
    <x v="9"/>
    <n v="110"/>
    <n v="4.8"/>
    <n v="2023"/>
    <x v="2"/>
    <x v="1"/>
    <n v="5"/>
  </r>
  <r>
    <s v="Call_7301"/>
    <x v="9"/>
    <x v="1"/>
    <n v="80"/>
    <x v="0"/>
    <x v="9"/>
    <n v="140"/>
    <n v="4.2"/>
    <n v="2023"/>
    <x v="2"/>
    <x v="0"/>
    <n v="4"/>
  </r>
  <r>
    <s v="Call_7302"/>
    <x v="4"/>
    <x v="0"/>
    <n v="82"/>
    <x v="0"/>
    <x v="10"/>
    <n v="42"/>
    <n v="3.7"/>
    <n v="2023"/>
    <x v="4"/>
    <x v="0"/>
    <n v="4"/>
  </r>
  <r>
    <s v="Call_7303"/>
    <x v="4"/>
    <x v="0"/>
    <n v="29"/>
    <x v="2"/>
    <x v="10"/>
    <n v="170"/>
    <n v="5"/>
    <n v="2023"/>
    <x v="4"/>
    <x v="3"/>
    <n v="5"/>
  </r>
  <r>
    <s v="Call_7304"/>
    <x v="10"/>
    <x v="1"/>
    <n v="160"/>
    <x v="1"/>
    <x v="11"/>
    <n v="105"/>
    <n v="5"/>
    <n v="2023"/>
    <x v="6"/>
    <x v="1"/>
    <n v="5"/>
  </r>
  <r>
    <s v="Call_7305"/>
    <x v="13"/>
    <x v="1"/>
    <n v="105"/>
    <x v="0"/>
    <x v="12"/>
    <n v="125"/>
    <n v="4.8"/>
    <n v="2023"/>
    <x v="0"/>
    <x v="0"/>
    <n v="5"/>
  </r>
  <r>
    <s v="Call_7306"/>
    <x v="9"/>
    <x v="1"/>
    <n v="75"/>
    <x v="4"/>
    <x v="12"/>
    <n v="26"/>
    <n v="2.4"/>
    <n v="2023"/>
    <x v="0"/>
    <x v="0"/>
    <n v="2"/>
  </r>
  <r>
    <s v="Call_7307"/>
    <x v="11"/>
    <x v="2"/>
    <n v="94"/>
    <x v="4"/>
    <x v="13"/>
    <n v="120"/>
    <n v="3.1"/>
    <n v="2023"/>
    <x v="1"/>
    <x v="0"/>
    <n v="3"/>
  </r>
  <r>
    <s v="Call_7308"/>
    <x v="1"/>
    <x v="0"/>
    <n v="90"/>
    <x v="1"/>
    <x v="13"/>
    <n v="132"/>
    <n v="3.2"/>
    <n v="2023"/>
    <x v="1"/>
    <x v="0"/>
    <n v="3"/>
  </r>
  <r>
    <s v="Call_7309"/>
    <x v="11"/>
    <x v="2"/>
    <n v="81"/>
    <x v="3"/>
    <x v="14"/>
    <n v="86"/>
    <n v="2.4"/>
    <n v="2023"/>
    <x v="2"/>
    <x v="0"/>
    <n v="2"/>
  </r>
  <r>
    <s v="Call_7310"/>
    <x v="9"/>
    <x v="1"/>
    <n v="106"/>
    <x v="0"/>
    <x v="14"/>
    <n v="108"/>
    <n v="5"/>
    <n v="2023"/>
    <x v="2"/>
    <x v="0"/>
    <n v="5"/>
  </r>
  <r>
    <s v="Call_7311"/>
    <x v="1"/>
    <x v="0"/>
    <n v="74"/>
    <x v="3"/>
    <x v="14"/>
    <n v="96"/>
    <n v="4.7"/>
    <n v="2023"/>
    <x v="2"/>
    <x v="0"/>
    <n v="5"/>
  </r>
  <r>
    <s v="Call_7312"/>
    <x v="6"/>
    <x v="2"/>
    <n v="105"/>
    <x v="1"/>
    <x v="15"/>
    <n v="80"/>
    <n v="4.7"/>
    <n v="2023"/>
    <x v="3"/>
    <x v="0"/>
    <n v="5"/>
  </r>
  <r>
    <s v="Call_7313"/>
    <x v="9"/>
    <x v="1"/>
    <n v="89"/>
    <x v="0"/>
    <x v="15"/>
    <n v="155"/>
    <n v="4.0999999999999996"/>
    <n v="2023"/>
    <x v="3"/>
    <x v="0"/>
    <n v="4"/>
  </r>
  <r>
    <s v="Call_7314"/>
    <x v="7"/>
    <x v="2"/>
    <n v="132"/>
    <x v="4"/>
    <x v="15"/>
    <n v="168"/>
    <n v="4.0999999999999996"/>
    <n v="2023"/>
    <x v="3"/>
    <x v="1"/>
    <n v="4"/>
  </r>
  <r>
    <s v="Call_7315"/>
    <x v="13"/>
    <x v="1"/>
    <n v="105"/>
    <x v="2"/>
    <x v="15"/>
    <n v="56"/>
    <n v="3.6"/>
    <n v="2023"/>
    <x v="3"/>
    <x v="0"/>
    <n v="4"/>
  </r>
  <r>
    <s v="Call_7316"/>
    <x v="4"/>
    <x v="0"/>
    <n v="13"/>
    <x v="4"/>
    <x v="16"/>
    <n v="32"/>
    <n v="4.4000000000000004"/>
    <n v="2023"/>
    <x v="4"/>
    <x v="3"/>
    <n v="4"/>
  </r>
  <r>
    <s v="Call_7317"/>
    <x v="3"/>
    <x v="1"/>
    <n v="131"/>
    <x v="2"/>
    <x v="16"/>
    <n v="78"/>
    <n v="4.4000000000000004"/>
    <n v="2023"/>
    <x v="4"/>
    <x v="1"/>
    <n v="4"/>
  </r>
  <r>
    <s v="Call_7318"/>
    <x v="1"/>
    <x v="0"/>
    <n v="104"/>
    <x v="0"/>
    <x v="16"/>
    <n v="86"/>
    <n v="4"/>
    <n v="2023"/>
    <x v="4"/>
    <x v="0"/>
    <n v="4"/>
  </r>
  <r>
    <s v="Call_7319"/>
    <x v="0"/>
    <x v="0"/>
    <n v="90"/>
    <x v="1"/>
    <x v="17"/>
    <n v="64"/>
    <n v="3.8"/>
    <n v="2023"/>
    <x v="5"/>
    <x v="0"/>
    <n v="4"/>
  </r>
  <r>
    <s v="Call_7320"/>
    <x v="12"/>
    <x v="0"/>
    <n v="37"/>
    <x v="1"/>
    <x v="17"/>
    <n v="96"/>
    <n v="3.6"/>
    <n v="2023"/>
    <x v="5"/>
    <x v="2"/>
    <n v="4"/>
  </r>
  <r>
    <s v="Call_7321"/>
    <x v="8"/>
    <x v="2"/>
    <n v="149"/>
    <x v="2"/>
    <x v="17"/>
    <n v="72"/>
    <n v="4.3"/>
    <n v="2023"/>
    <x v="5"/>
    <x v="1"/>
    <n v="4"/>
  </r>
  <r>
    <s v="Call_7322"/>
    <x v="7"/>
    <x v="2"/>
    <n v="100"/>
    <x v="3"/>
    <x v="18"/>
    <n v="135"/>
    <n v="3.8"/>
    <n v="2023"/>
    <x v="6"/>
    <x v="0"/>
    <n v="4"/>
  </r>
  <r>
    <s v="Call_7323"/>
    <x v="7"/>
    <x v="2"/>
    <n v="79"/>
    <x v="4"/>
    <x v="18"/>
    <n v="140"/>
    <n v="4.5"/>
    <n v="2023"/>
    <x v="6"/>
    <x v="0"/>
    <n v="5"/>
  </r>
  <r>
    <s v="Call_7324"/>
    <x v="14"/>
    <x v="2"/>
    <n v="157"/>
    <x v="2"/>
    <x v="18"/>
    <n v="69"/>
    <n v="4.5"/>
    <n v="2023"/>
    <x v="6"/>
    <x v="1"/>
    <n v="5"/>
  </r>
  <r>
    <s v="Call_7325"/>
    <x v="7"/>
    <x v="2"/>
    <n v="59"/>
    <x v="0"/>
    <x v="19"/>
    <n v="136"/>
    <n v="4.5999999999999996"/>
    <n v="2023"/>
    <x v="0"/>
    <x v="2"/>
    <n v="5"/>
  </r>
  <r>
    <s v="Call_7326"/>
    <x v="12"/>
    <x v="0"/>
    <n v="83"/>
    <x v="2"/>
    <x v="19"/>
    <n v="28"/>
    <n v="4.5"/>
    <n v="2023"/>
    <x v="0"/>
    <x v="0"/>
    <n v="5"/>
  </r>
  <r>
    <s v="Call_7327"/>
    <x v="14"/>
    <x v="2"/>
    <n v="58"/>
    <x v="1"/>
    <x v="20"/>
    <n v="135"/>
    <n v="3.3"/>
    <n v="2023"/>
    <x v="1"/>
    <x v="2"/>
    <n v="3"/>
  </r>
  <r>
    <s v="Call_7328"/>
    <x v="11"/>
    <x v="2"/>
    <n v="118"/>
    <x v="1"/>
    <x v="20"/>
    <n v="126"/>
    <n v="2.2999999999999998"/>
    <n v="2023"/>
    <x v="1"/>
    <x v="0"/>
    <n v="2"/>
  </r>
  <r>
    <s v="Call_7329"/>
    <x v="4"/>
    <x v="0"/>
    <n v="63"/>
    <x v="0"/>
    <x v="20"/>
    <n v="160"/>
    <n v="4.3"/>
    <n v="2023"/>
    <x v="1"/>
    <x v="0"/>
    <n v="4"/>
  </r>
  <r>
    <s v="Call_7330"/>
    <x v="14"/>
    <x v="2"/>
    <n v="95"/>
    <x v="1"/>
    <x v="21"/>
    <n v="48"/>
    <n v="4.5999999999999996"/>
    <n v="2023"/>
    <x v="2"/>
    <x v="0"/>
    <n v="5"/>
  </r>
  <r>
    <s v="Call_7331"/>
    <x v="7"/>
    <x v="2"/>
    <n v="74"/>
    <x v="2"/>
    <x v="21"/>
    <n v="66"/>
    <n v="4"/>
    <n v="2023"/>
    <x v="2"/>
    <x v="0"/>
    <n v="4"/>
  </r>
  <r>
    <s v="Call_7332"/>
    <x v="6"/>
    <x v="2"/>
    <n v="130"/>
    <x v="3"/>
    <x v="21"/>
    <n v="126"/>
    <n v="2.5"/>
    <n v="2023"/>
    <x v="2"/>
    <x v="1"/>
    <n v="3"/>
  </r>
  <r>
    <s v="Call_7333"/>
    <x v="11"/>
    <x v="2"/>
    <n v="110"/>
    <x v="4"/>
    <x v="21"/>
    <n v="96"/>
    <n v="5"/>
    <n v="2023"/>
    <x v="2"/>
    <x v="0"/>
    <n v="5"/>
  </r>
  <r>
    <s v="Call_7334"/>
    <x v="7"/>
    <x v="2"/>
    <n v="71"/>
    <x v="0"/>
    <x v="22"/>
    <n v="90"/>
    <n v="3.8"/>
    <n v="2023"/>
    <x v="3"/>
    <x v="0"/>
    <n v="4"/>
  </r>
  <r>
    <s v="Call_7335"/>
    <x v="13"/>
    <x v="1"/>
    <n v="147"/>
    <x v="3"/>
    <x v="22"/>
    <n v="105"/>
    <n v="4.4000000000000004"/>
    <n v="2023"/>
    <x v="3"/>
    <x v="1"/>
    <n v="4"/>
  </r>
  <r>
    <s v="Call_7336"/>
    <x v="1"/>
    <x v="0"/>
    <n v="69"/>
    <x v="1"/>
    <x v="23"/>
    <n v="40"/>
    <n v="3.8"/>
    <n v="2023"/>
    <x v="4"/>
    <x v="0"/>
    <n v="4"/>
  </r>
  <r>
    <s v="Call_7337"/>
    <x v="11"/>
    <x v="2"/>
    <n v="50"/>
    <x v="0"/>
    <x v="23"/>
    <n v="60"/>
    <n v="2"/>
    <n v="2023"/>
    <x v="4"/>
    <x v="2"/>
    <n v="2"/>
  </r>
  <r>
    <s v="Call_7338"/>
    <x v="6"/>
    <x v="2"/>
    <n v="124"/>
    <x v="3"/>
    <x v="24"/>
    <n v="215"/>
    <n v="4.0999999999999996"/>
    <n v="2023"/>
    <x v="5"/>
    <x v="1"/>
    <n v="4"/>
  </r>
  <r>
    <s v="Call_7339"/>
    <x v="2"/>
    <x v="1"/>
    <n v="81"/>
    <x v="2"/>
    <x v="24"/>
    <n v="156"/>
    <n v="2.6"/>
    <n v="2023"/>
    <x v="5"/>
    <x v="0"/>
    <n v="3"/>
  </r>
  <r>
    <s v="Call_7340"/>
    <x v="10"/>
    <x v="1"/>
    <n v="141"/>
    <x v="4"/>
    <x v="24"/>
    <n v="54"/>
    <n v="0"/>
    <n v="2023"/>
    <x v="5"/>
    <x v="1"/>
    <n v="0"/>
  </r>
  <r>
    <s v="Call_7341"/>
    <x v="10"/>
    <x v="1"/>
    <n v="168"/>
    <x v="4"/>
    <x v="25"/>
    <n v="160"/>
    <n v="3.9"/>
    <n v="2023"/>
    <x v="6"/>
    <x v="1"/>
    <n v="4"/>
  </r>
  <r>
    <s v="Call_7342"/>
    <x v="13"/>
    <x v="1"/>
    <n v="101"/>
    <x v="2"/>
    <x v="25"/>
    <n v="80"/>
    <n v="4.8"/>
    <n v="2023"/>
    <x v="6"/>
    <x v="0"/>
    <n v="5"/>
  </r>
  <r>
    <s v="Call_7343"/>
    <x v="7"/>
    <x v="2"/>
    <n v="67"/>
    <x v="2"/>
    <x v="25"/>
    <n v="168"/>
    <n v="2.6"/>
    <n v="2023"/>
    <x v="6"/>
    <x v="0"/>
    <n v="3"/>
  </r>
  <r>
    <s v="Call_7344"/>
    <x v="14"/>
    <x v="2"/>
    <n v="114"/>
    <x v="4"/>
    <x v="26"/>
    <n v="42"/>
    <n v="2.6"/>
    <n v="2023"/>
    <x v="1"/>
    <x v="0"/>
    <n v="3"/>
  </r>
  <r>
    <s v="Call_7345"/>
    <x v="2"/>
    <x v="1"/>
    <n v="42"/>
    <x v="2"/>
    <x v="26"/>
    <n v="205"/>
    <n v="3.6"/>
    <n v="2023"/>
    <x v="1"/>
    <x v="2"/>
    <n v="4"/>
  </r>
  <r>
    <s v="Call_7346"/>
    <x v="4"/>
    <x v="0"/>
    <n v="69"/>
    <x v="4"/>
    <x v="26"/>
    <n v="108"/>
    <n v="3.3"/>
    <n v="2023"/>
    <x v="1"/>
    <x v="0"/>
    <n v="3"/>
  </r>
  <r>
    <s v="Call_7347"/>
    <x v="6"/>
    <x v="2"/>
    <n v="145"/>
    <x v="1"/>
    <x v="26"/>
    <n v="78"/>
    <n v="1.9"/>
    <n v="2023"/>
    <x v="1"/>
    <x v="1"/>
    <n v="2"/>
  </r>
  <r>
    <s v="Call_7348"/>
    <x v="1"/>
    <x v="0"/>
    <n v="43"/>
    <x v="4"/>
    <x v="26"/>
    <n v="23"/>
    <n v="4.9000000000000004"/>
    <n v="2023"/>
    <x v="1"/>
    <x v="2"/>
    <n v="5"/>
  </r>
  <r>
    <s v="Call_7349"/>
    <x v="4"/>
    <x v="0"/>
    <n v="62"/>
    <x v="0"/>
    <x v="27"/>
    <n v="99"/>
    <n v="3.6"/>
    <n v="2023"/>
    <x v="2"/>
    <x v="0"/>
    <n v="4"/>
  </r>
  <r>
    <s v="Call_7350"/>
    <x v="9"/>
    <x v="1"/>
    <n v="79"/>
    <x v="4"/>
    <x v="28"/>
    <n v="148"/>
    <n v="4.5"/>
    <n v="2023"/>
    <x v="3"/>
    <x v="0"/>
    <n v="5"/>
  </r>
  <r>
    <s v="Call_7351"/>
    <x v="6"/>
    <x v="2"/>
    <n v="45"/>
    <x v="3"/>
    <x v="28"/>
    <n v="34"/>
    <n v="3.7"/>
    <n v="2023"/>
    <x v="3"/>
    <x v="2"/>
    <n v="4"/>
  </r>
  <r>
    <s v="Call_7352"/>
    <x v="4"/>
    <x v="0"/>
    <n v="137"/>
    <x v="4"/>
    <x v="28"/>
    <n v="86"/>
    <n v="4.8"/>
    <n v="2023"/>
    <x v="3"/>
    <x v="1"/>
    <n v="5"/>
  </r>
  <r>
    <s v="Call_7353"/>
    <x v="14"/>
    <x v="2"/>
    <n v="109"/>
    <x v="0"/>
    <x v="28"/>
    <n v="105"/>
    <n v="3.3"/>
    <n v="2023"/>
    <x v="3"/>
    <x v="0"/>
    <n v="3"/>
  </r>
  <r>
    <s v="Call_7354"/>
    <x v="1"/>
    <x v="0"/>
    <n v="78"/>
    <x v="0"/>
    <x v="28"/>
    <n v="62"/>
    <n v="3.1"/>
    <n v="2023"/>
    <x v="3"/>
    <x v="0"/>
    <n v="3"/>
  </r>
  <r>
    <s v="Call_7355"/>
    <x v="4"/>
    <x v="0"/>
    <n v="137"/>
    <x v="3"/>
    <x v="28"/>
    <n v="90"/>
    <n v="4.0999999999999996"/>
    <n v="2023"/>
    <x v="3"/>
    <x v="1"/>
    <n v="4"/>
  </r>
  <r>
    <s v="Call_7356"/>
    <x v="3"/>
    <x v="1"/>
    <n v="99"/>
    <x v="0"/>
    <x v="29"/>
    <n v="112"/>
    <n v="4.9000000000000004"/>
    <n v="2023"/>
    <x v="4"/>
    <x v="0"/>
    <n v="5"/>
  </r>
  <r>
    <s v="Call_7357"/>
    <x v="11"/>
    <x v="2"/>
    <n v="100"/>
    <x v="0"/>
    <x v="29"/>
    <n v="135"/>
    <n v="4"/>
    <n v="2023"/>
    <x v="4"/>
    <x v="0"/>
    <n v="4"/>
  </r>
  <r>
    <s v="Call_7358"/>
    <x v="1"/>
    <x v="0"/>
    <n v="47"/>
    <x v="1"/>
    <x v="29"/>
    <n v="34"/>
    <n v="2.1"/>
    <n v="2023"/>
    <x v="4"/>
    <x v="2"/>
    <n v="2"/>
  </r>
  <r>
    <s v="Call_7359"/>
    <x v="14"/>
    <x v="2"/>
    <n v="87"/>
    <x v="2"/>
    <x v="29"/>
    <n v="155"/>
    <n v="4.5"/>
    <n v="2023"/>
    <x v="4"/>
    <x v="0"/>
    <n v="5"/>
  </r>
  <r>
    <s v="Call_7360"/>
    <x v="3"/>
    <x v="1"/>
    <n v="143"/>
    <x v="2"/>
    <x v="30"/>
    <n v="124"/>
    <n v="4.9000000000000004"/>
    <n v="2023"/>
    <x v="6"/>
    <x v="1"/>
    <n v="5"/>
  </r>
  <r>
    <s v="Call_7361"/>
    <x v="11"/>
    <x v="2"/>
    <n v="84"/>
    <x v="0"/>
    <x v="30"/>
    <n v="195"/>
    <n v="4.0999999999999996"/>
    <n v="2023"/>
    <x v="6"/>
    <x v="0"/>
    <n v="4"/>
  </r>
  <r>
    <s v="Call_7362"/>
    <x v="13"/>
    <x v="1"/>
    <n v="55"/>
    <x v="2"/>
    <x v="31"/>
    <n v="78"/>
    <n v="4.5"/>
    <n v="2023"/>
    <x v="0"/>
    <x v="2"/>
    <n v="5"/>
  </r>
  <r>
    <s v="Call_7363"/>
    <x v="5"/>
    <x v="2"/>
    <n v="135"/>
    <x v="3"/>
    <x v="32"/>
    <n v="35"/>
    <n v="4.8"/>
    <n v="2023"/>
    <x v="2"/>
    <x v="1"/>
    <n v="5"/>
  </r>
  <r>
    <s v="Call_7364"/>
    <x v="12"/>
    <x v="0"/>
    <n v="152"/>
    <x v="1"/>
    <x v="32"/>
    <n v="123"/>
    <n v="4.5999999999999996"/>
    <n v="2023"/>
    <x v="2"/>
    <x v="1"/>
    <n v="5"/>
  </r>
  <r>
    <s v="Call_7365"/>
    <x v="2"/>
    <x v="1"/>
    <n v="132"/>
    <x v="1"/>
    <x v="32"/>
    <n v="43"/>
    <n v="4.5999999999999996"/>
    <n v="2023"/>
    <x v="2"/>
    <x v="1"/>
    <n v="5"/>
  </r>
  <r>
    <s v="Call_7366"/>
    <x v="10"/>
    <x v="1"/>
    <n v="60"/>
    <x v="0"/>
    <x v="33"/>
    <n v="69"/>
    <n v="4.3"/>
    <n v="2023"/>
    <x v="3"/>
    <x v="2"/>
    <n v="4"/>
  </r>
  <r>
    <s v="Call_7367"/>
    <x v="12"/>
    <x v="0"/>
    <n v="95"/>
    <x v="1"/>
    <x v="33"/>
    <n v="130"/>
    <n v="5"/>
    <n v="2023"/>
    <x v="3"/>
    <x v="0"/>
    <n v="5"/>
  </r>
  <r>
    <s v="Call_7368"/>
    <x v="0"/>
    <x v="0"/>
    <n v="96"/>
    <x v="4"/>
    <x v="33"/>
    <n v="120"/>
    <n v="4"/>
    <n v="2023"/>
    <x v="3"/>
    <x v="0"/>
    <n v="4"/>
  </r>
  <r>
    <s v="Call_7369"/>
    <x v="13"/>
    <x v="1"/>
    <n v="45"/>
    <x v="0"/>
    <x v="34"/>
    <n v="84"/>
    <n v="4.5999999999999996"/>
    <n v="2023"/>
    <x v="4"/>
    <x v="2"/>
    <n v="5"/>
  </r>
  <r>
    <s v="Call_7370"/>
    <x v="0"/>
    <x v="0"/>
    <n v="132"/>
    <x v="4"/>
    <x v="35"/>
    <n v="112"/>
    <n v="4.5"/>
    <n v="2023"/>
    <x v="5"/>
    <x v="1"/>
    <n v="5"/>
  </r>
  <r>
    <s v="Call_7371"/>
    <x v="7"/>
    <x v="2"/>
    <n v="95"/>
    <x v="0"/>
    <x v="35"/>
    <n v="66"/>
    <n v="4.5999999999999996"/>
    <n v="2023"/>
    <x v="5"/>
    <x v="0"/>
    <n v="5"/>
  </r>
  <r>
    <s v="Call_7372"/>
    <x v="12"/>
    <x v="0"/>
    <n v="131"/>
    <x v="2"/>
    <x v="35"/>
    <n v="172"/>
    <n v="2.6"/>
    <n v="2023"/>
    <x v="5"/>
    <x v="1"/>
    <n v="3"/>
  </r>
  <r>
    <s v="Call_7373"/>
    <x v="9"/>
    <x v="1"/>
    <n v="67"/>
    <x v="3"/>
    <x v="36"/>
    <n v="24"/>
    <n v="4.3"/>
    <n v="2023"/>
    <x v="6"/>
    <x v="0"/>
    <n v="4"/>
  </r>
  <r>
    <s v="Call_7374"/>
    <x v="3"/>
    <x v="1"/>
    <n v="111"/>
    <x v="2"/>
    <x v="37"/>
    <n v="43"/>
    <n v="3.9"/>
    <n v="2023"/>
    <x v="0"/>
    <x v="0"/>
    <n v="4"/>
  </r>
  <r>
    <s v="Call_7375"/>
    <x v="2"/>
    <x v="1"/>
    <n v="78"/>
    <x v="1"/>
    <x v="37"/>
    <n v="23"/>
    <n v="5"/>
    <n v="2023"/>
    <x v="0"/>
    <x v="0"/>
    <n v="5"/>
  </r>
  <r>
    <s v="Call_7376"/>
    <x v="8"/>
    <x v="2"/>
    <n v="28"/>
    <x v="4"/>
    <x v="37"/>
    <n v="74"/>
    <n v="3.5"/>
    <n v="2023"/>
    <x v="0"/>
    <x v="3"/>
    <n v="4"/>
  </r>
  <r>
    <s v="Call_7377"/>
    <x v="1"/>
    <x v="0"/>
    <n v="127"/>
    <x v="3"/>
    <x v="38"/>
    <n v="165"/>
    <n v="4.7"/>
    <n v="2023"/>
    <x v="1"/>
    <x v="1"/>
    <n v="5"/>
  </r>
  <r>
    <s v="Call_7378"/>
    <x v="11"/>
    <x v="2"/>
    <n v="137"/>
    <x v="2"/>
    <x v="38"/>
    <n v="34"/>
    <n v="2.9"/>
    <n v="2023"/>
    <x v="1"/>
    <x v="1"/>
    <n v="3"/>
  </r>
  <r>
    <s v="Call_7379"/>
    <x v="1"/>
    <x v="0"/>
    <n v="76"/>
    <x v="4"/>
    <x v="38"/>
    <n v="64"/>
    <n v="3.4"/>
    <n v="2023"/>
    <x v="1"/>
    <x v="0"/>
    <n v="3"/>
  </r>
  <r>
    <s v="Call_7380"/>
    <x v="2"/>
    <x v="1"/>
    <n v="80"/>
    <x v="3"/>
    <x v="39"/>
    <n v="155"/>
    <n v="3.2"/>
    <n v="2023"/>
    <x v="2"/>
    <x v="0"/>
    <n v="3"/>
  </r>
  <r>
    <s v="Call_7381"/>
    <x v="1"/>
    <x v="0"/>
    <n v="95"/>
    <x v="1"/>
    <x v="40"/>
    <n v="120"/>
    <n v="4.8"/>
    <n v="2023"/>
    <x v="3"/>
    <x v="0"/>
    <n v="5"/>
  </r>
  <r>
    <s v="Call_7382"/>
    <x v="10"/>
    <x v="1"/>
    <n v="30"/>
    <x v="4"/>
    <x v="40"/>
    <n v="105"/>
    <n v="3.6"/>
    <n v="2023"/>
    <x v="3"/>
    <x v="3"/>
    <n v="4"/>
  </r>
  <r>
    <s v="Call_7383"/>
    <x v="4"/>
    <x v="0"/>
    <n v="19"/>
    <x v="2"/>
    <x v="40"/>
    <n v="28"/>
    <n v="4.9000000000000004"/>
    <n v="2023"/>
    <x v="3"/>
    <x v="3"/>
    <n v="5"/>
  </r>
  <r>
    <s v="Call_7384"/>
    <x v="6"/>
    <x v="2"/>
    <n v="38"/>
    <x v="3"/>
    <x v="40"/>
    <n v="100"/>
    <n v="4.8"/>
    <n v="2023"/>
    <x v="3"/>
    <x v="2"/>
    <n v="5"/>
  </r>
  <r>
    <s v="Call_7385"/>
    <x v="7"/>
    <x v="2"/>
    <n v="55"/>
    <x v="2"/>
    <x v="40"/>
    <n v="23"/>
    <n v="3.6"/>
    <n v="2023"/>
    <x v="3"/>
    <x v="2"/>
    <n v="4"/>
  </r>
  <r>
    <s v="Call_7386"/>
    <x v="9"/>
    <x v="1"/>
    <n v="27"/>
    <x v="4"/>
    <x v="41"/>
    <n v="70"/>
    <n v="3.9"/>
    <n v="2023"/>
    <x v="4"/>
    <x v="3"/>
    <n v="4"/>
  </r>
  <r>
    <s v="Call_7387"/>
    <x v="9"/>
    <x v="1"/>
    <n v="32"/>
    <x v="4"/>
    <x v="41"/>
    <n v="37"/>
    <n v="1.9"/>
    <n v="2023"/>
    <x v="4"/>
    <x v="2"/>
    <n v="2"/>
  </r>
  <r>
    <s v="Call_7388"/>
    <x v="8"/>
    <x v="2"/>
    <n v="116"/>
    <x v="0"/>
    <x v="41"/>
    <n v="140"/>
    <n v="3.6"/>
    <n v="2023"/>
    <x v="4"/>
    <x v="0"/>
    <n v="4"/>
  </r>
  <r>
    <s v="Call_7389"/>
    <x v="0"/>
    <x v="0"/>
    <n v="99"/>
    <x v="1"/>
    <x v="41"/>
    <n v="78"/>
    <n v="4.0999999999999996"/>
    <n v="2023"/>
    <x v="4"/>
    <x v="0"/>
    <n v="4"/>
  </r>
  <r>
    <s v="Call_7390"/>
    <x v="1"/>
    <x v="0"/>
    <n v="75"/>
    <x v="4"/>
    <x v="42"/>
    <n v="21"/>
    <n v="4.2"/>
    <n v="2023"/>
    <x v="5"/>
    <x v="0"/>
    <n v="4"/>
  </r>
  <r>
    <s v="Call_7391"/>
    <x v="2"/>
    <x v="1"/>
    <n v="57"/>
    <x v="0"/>
    <x v="42"/>
    <n v="88"/>
    <n v="4.3"/>
    <n v="2023"/>
    <x v="5"/>
    <x v="2"/>
    <n v="4"/>
  </r>
  <r>
    <s v="Call_7392"/>
    <x v="5"/>
    <x v="2"/>
    <n v="155"/>
    <x v="0"/>
    <x v="43"/>
    <n v="180"/>
    <n v="2.2000000000000002"/>
    <n v="2023"/>
    <x v="6"/>
    <x v="1"/>
    <n v="2"/>
  </r>
  <r>
    <s v="Call_7393"/>
    <x v="0"/>
    <x v="0"/>
    <n v="68"/>
    <x v="1"/>
    <x v="43"/>
    <n v="22"/>
    <n v="3.3"/>
    <n v="2023"/>
    <x v="6"/>
    <x v="0"/>
    <n v="3"/>
  </r>
  <r>
    <s v="Call_7394"/>
    <x v="6"/>
    <x v="2"/>
    <n v="95"/>
    <x v="1"/>
    <x v="43"/>
    <n v="52"/>
    <n v="4.8"/>
    <n v="2023"/>
    <x v="6"/>
    <x v="0"/>
    <n v="5"/>
  </r>
  <r>
    <s v="Call_7395"/>
    <x v="11"/>
    <x v="2"/>
    <n v="65"/>
    <x v="0"/>
    <x v="44"/>
    <n v="80"/>
    <n v="4"/>
    <n v="2023"/>
    <x v="0"/>
    <x v="0"/>
    <n v="4"/>
  </r>
  <r>
    <s v="Call_7396"/>
    <x v="4"/>
    <x v="0"/>
    <n v="114"/>
    <x v="2"/>
    <x v="44"/>
    <n v="54"/>
    <n v="1.1000000000000001"/>
    <n v="2023"/>
    <x v="0"/>
    <x v="0"/>
    <n v="1"/>
  </r>
  <r>
    <s v="Call_7397"/>
    <x v="1"/>
    <x v="0"/>
    <n v="155"/>
    <x v="2"/>
    <x v="45"/>
    <n v="80"/>
    <n v="3.9"/>
    <n v="2023"/>
    <x v="1"/>
    <x v="1"/>
    <n v="4"/>
  </r>
  <r>
    <s v="Call_7398"/>
    <x v="11"/>
    <x v="2"/>
    <n v="114"/>
    <x v="0"/>
    <x v="46"/>
    <n v="120"/>
    <n v="1.8"/>
    <n v="2023"/>
    <x v="2"/>
    <x v="0"/>
    <n v="2"/>
  </r>
  <r>
    <s v="Call_7399"/>
    <x v="5"/>
    <x v="2"/>
    <n v="130"/>
    <x v="3"/>
    <x v="46"/>
    <n v="150"/>
    <n v="1"/>
    <n v="2023"/>
    <x v="2"/>
    <x v="1"/>
    <n v="1"/>
  </r>
  <r>
    <s v="Call_7400"/>
    <x v="1"/>
    <x v="0"/>
    <n v="89"/>
    <x v="0"/>
    <x v="46"/>
    <n v="90"/>
    <n v="4.3"/>
    <n v="2023"/>
    <x v="2"/>
    <x v="0"/>
    <n v="4"/>
  </r>
  <r>
    <s v="Call_7401"/>
    <x v="13"/>
    <x v="1"/>
    <n v="61"/>
    <x v="4"/>
    <x v="47"/>
    <n v="140"/>
    <n v="3.4"/>
    <n v="2023"/>
    <x v="3"/>
    <x v="0"/>
    <n v="3"/>
  </r>
  <r>
    <s v="Call_7402"/>
    <x v="6"/>
    <x v="2"/>
    <n v="154"/>
    <x v="2"/>
    <x v="47"/>
    <n v="22"/>
    <n v="3.4"/>
    <n v="2023"/>
    <x v="3"/>
    <x v="1"/>
    <n v="3"/>
  </r>
  <r>
    <s v="Call_7403"/>
    <x v="11"/>
    <x v="2"/>
    <n v="115"/>
    <x v="3"/>
    <x v="48"/>
    <n v="150"/>
    <n v="4.0999999999999996"/>
    <n v="2023"/>
    <x v="4"/>
    <x v="0"/>
    <n v="4"/>
  </r>
  <r>
    <s v="Call_7404"/>
    <x v="14"/>
    <x v="2"/>
    <n v="138"/>
    <x v="1"/>
    <x v="49"/>
    <n v="35"/>
    <n v="4.8"/>
    <n v="2023"/>
    <x v="5"/>
    <x v="1"/>
    <n v="5"/>
  </r>
  <r>
    <s v="Call_7405"/>
    <x v="3"/>
    <x v="1"/>
    <n v="153"/>
    <x v="0"/>
    <x v="49"/>
    <n v="200"/>
    <n v="2"/>
    <n v="2023"/>
    <x v="5"/>
    <x v="1"/>
    <n v="2"/>
  </r>
  <r>
    <s v="Call_7406"/>
    <x v="11"/>
    <x v="2"/>
    <n v="61"/>
    <x v="4"/>
    <x v="50"/>
    <n v="150"/>
    <n v="4.5999999999999996"/>
    <n v="2023"/>
    <x v="6"/>
    <x v="0"/>
    <n v="5"/>
  </r>
  <r>
    <s v="Call_7407"/>
    <x v="9"/>
    <x v="1"/>
    <n v="62"/>
    <x v="0"/>
    <x v="50"/>
    <n v="21"/>
    <n v="2.6"/>
    <n v="2023"/>
    <x v="6"/>
    <x v="0"/>
    <n v="3"/>
  </r>
  <r>
    <s v="Call_7408"/>
    <x v="13"/>
    <x v="1"/>
    <n v="151"/>
    <x v="3"/>
    <x v="51"/>
    <n v="46"/>
    <n v="4.9000000000000004"/>
    <n v="2023"/>
    <x v="0"/>
    <x v="1"/>
    <n v="5"/>
  </r>
  <r>
    <s v="Call_7409"/>
    <x v="12"/>
    <x v="0"/>
    <n v="102"/>
    <x v="2"/>
    <x v="51"/>
    <n v="165"/>
    <n v="2.7"/>
    <n v="2023"/>
    <x v="0"/>
    <x v="0"/>
    <n v="3"/>
  </r>
  <r>
    <s v="Call_7410"/>
    <x v="10"/>
    <x v="1"/>
    <n v="64"/>
    <x v="0"/>
    <x v="51"/>
    <n v="84"/>
    <n v="4.0999999999999996"/>
    <n v="2023"/>
    <x v="0"/>
    <x v="0"/>
    <n v="4"/>
  </r>
  <r>
    <s v="Call_7411"/>
    <x v="1"/>
    <x v="0"/>
    <n v="6"/>
    <x v="2"/>
    <x v="52"/>
    <n v="102"/>
    <n v="4.4000000000000004"/>
    <n v="2023"/>
    <x v="1"/>
    <x v="4"/>
    <n v="4"/>
  </r>
  <r>
    <s v="Call_7412"/>
    <x v="10"/>
    <x v="1"/>
    <n v="129"/>
    <x v="0"/>
    <x v="52"/>
    <n v="180"/>
    <n v="4.8"/>
    <n v="2023"/>
    <x v="1"/>
    <x v="1"/>
    <n v="5"/>
  </r>
  <r>
    <s v="Call_7413"/>
    <x v="9"/>
    <x v="1"/>
    <n v="42"/>
    <x v="3"/>
    <x v="53"/>
    <n v="111"/>
    <n v="3"/>
    <n v="2023"/>
    <x v="2"/>
    <x v="2"/>
    <n v="3"/>
  </r>
  <r>
    <s v="Call_7414"/>
    <x v="9"/>
    <x v="1"/>
    <n v="71"/>
    <x v="4"/>
    <x v="53"/>
    <n v="104"/>
    <n v="3.1"/>
    <n v="2023"/>
    <x v="2"/>
    <x v="0"/>
    <n v="3"/>
  </r>
  <r>
    <s v="Call_7415"/>
    <x v="2"/>
    <x v="1"/>
    <n v="53"/>
    <x v="2"/>
    <x v="53"/>
    <n v="80"/>
    <n v="2.6"/>
    <n v="2023"/>
    <x v="2"/>
    <x v="2"/>
    <n v="3"/>
  </r>
  <r>
    <s v="Call_7416"/>
    <x v="4"/>
    <x v="0"/>
    <n v="155"/>
    <x v="4"/>
    <x v="54"/>
    <n v="132"/>
    <n v="4.5999999999999996"/>
    <n v="2023"/>
    <x v="3"/>
    <x v="1"/>
    <n v="5"/>
  </r>
  <r>
    <s v="Call_7417"/>
    <x v="4"/>
    <x v="0"/>
    <n v="90"/>
    <x v="3"/>
    <x v="54"/>
    <n v="170"/>
    <n v="3.7"/>
    <n v="2023"/>
    <x v="3"/>
    <x v="0"/>
    <n v="4"/>
  </r>
  <r>
    <s v="Call_7418"/>
    <x v="10"/>
    <x v="1"/>
    <n v="166"/>
    <x v="1"/>
    <x v="54"/>
    <n v="36"/>
    <n v="3.8"/>
    <n v="2023"/>
    <x v="3"/>
    <x v="1"/>
    <n v="4"/>
  </r>
  <r>
    <s v="Call_7419"/>
    <x v="8"/>
    <x v="2"/>
    <n v="89"/>
    <x v="4"/>
    <x v="54"/>
    <n v="126"/>
    <n v="3.6"/>
    <n v="2023"/>
    <x v="3"/>
    <x v="0"/>
    <n v="4"/>
  </r>
  <r>
    <s v="Call_7420"/>
    <x v="11"/>
    <x v="2"/>
    <n v="152"/>
    <x v="2"/>
    <x v="54"/>
    <n v="215"/>
    <n v="4.4000000000000004"/>
    <n v="2023"/>
    <x v="3"/>
    <x v="1"/>
    <n v="4"/>
  </r>
  <r>
    <s v="Call_7421"/>
    <x v="8"/>
    <x v="2"/>
    <n v="137"/>
    <x v="3"/>
    <x v="54"/>
    <n v="114"/>
    <n v="3.2"/>
    <n v="2023"/>
    <x v="3"/>
    <x v="1"/>
    <n v="3"/>
  </r>
  <r>
    <s v="Call_7422"/>
    <x v="8"/>
    <x v="2"/>
    <n v="43"/>
    <x v="3"/>
    <x v="54"/>
    <n v="99"/>
    <n v="4.7"/>
    <n v="2023"/>
    <x v="3"/>
    <x v="2"/>
    <n v="5"/>
  </r>
  <r>
    <s v="Call_7423"/>
    <x v="6"/>
    <x v="2"/>
    <n v="114"/>
    <x v="3"/>
    <x v="55"/>
    <n v="23"/>
    <n v="4.8"/>
    <n v="2023"/>
    <x v="4"/>
    <x v="0"/>
    <n v="5"/>
  </r>
  <r>
    <s v="Call_7424"/>
    <x v="3"/>
    <x v="1"/>
    <n v="103"/>
    <x v="4"/>
    <x v="55"/>
    <n v="75"/>
    <n v="2.7"/>
    <n v="2023"/>
    <x v="4"/>
    <x v="0"/>
    <n v="3"/>
  </r>
  <r>
    <s v="Call_7425"/>
    <x v="8"/>
    <x v="2"/>
    <n v="98"/>
    <x v="2"/>
    <x v="55"/>
    <n v="100"/>
    <n v="3.8"/>
    <n v="2023"/>
    <x v="4"/>
    <x v="0"/>
    <n v="4"/>
  </r>
  <r>
    <s v="Call_7426"/>
    <x v="10"/>
    <x v="1"/>
    <n v="106"/>
    <x v="1"/>
    <x v="55"/>
    <n v="108"/>
    <n v="4.3"/>
    <n v="2023"/>
    <x v="4"/>
    <x v="0"/>
    <n v="4"/>
  </r>
  <r>
    <s v="Call_7427"/>
    <x v="1"/>
    <x v="0"/>
    <n v="96"/>
    <x v="1"/>
    <x v="55"/>
    <n v="108"/>
    <n v="5"/>
    <n v="2023"/>
    <x v="4"/>
    <x v="0"/>
    <n v="5"/>
  </r>
  <r>
    <s v="Call_7428"/>
    <x v="3"/>
    <x v="1"/>
    <n v="70"/>
    <x v="1"/>
    <x v="55"/>
    <n v="28"/>
    <n v="4.8"/>
    <n v="2023"/>
    <x v="4"/>
    <x v="0"/>
    <n v="5"/>
  </r>
  <r>
    <s v="Call_7429"/>
    <x v="9"/>
    <x v="1"/>
    <n v="86"/>
    <x v="0"/>
    <x v="56"/>
    <n v="70"/>
    <n v="4.9000000000000004"/>
    <n v="2023"/>
    <x v="5"/>
    <x v="0"/>
    <n v="5"/>
  </r>
  <r>
    <s v="Call_7430"/>
    <x v="2"/>
    <x v="1"/>
    <n v="64"/>
    <x v="0"/>
    <x v="56"/>
    <n v="172"/>
    <n v="4.0999999999999996"/>
    <n v="2023"/>
    <x v="5"/>
    <x v="0"/>
    <n v="4"/>
  </r>
  <r>
    <s v="Call_7431"/>
    <x v="1"/>
    <x v="0"/>
    <n v="113"/>
    <x v="2"/>
    <x v="56"/>
    <n v="123"/>
    <n v="4.4000000000000004"/>
    <n v="2023"/>
    <x v="5"/>
    <x v="0"/>
    <n v="4"/>
  </r>
  <r>
    <s v="Call_7432"/>
    <x v="1"/>
    <x v="0"/>
    <n v="21"/>
    <x v="1"/>
    <x v="56"/>
    <n v="93"/>
    <n v="3.4"/>
    <n v="2023"/>
    <x v="5"/>
    <x v="3"/>
    <n v="3"/>
  </r>
  <r>
    <s v="Call_7433"/>
    <x v="12"/>
    <x v="0"/>
    <n v="107"/>
    <x v="0"/>
    <x v="56"/>
    <n v="66"/>
    <n v="4"/>
    <n v="2023"/>
    <x v="5"/>
    <x v="0"/>
    <n v="4"/>
  </r>
  <r>
    <s v="Call_7434"/>
    <x v="12"/>
    <x v="0"/>
    <n v="131"/>
    <x v="1"/>
    <x v="56"/>
    <n v="39"/>
    <n v="2.4"/>
    <n v="2023"/>
    <x v="5"/>
    <x v="1"/>
    <n v="2"/>
  </r>
  <r>
    <s v="Call_7435"/>
    <x v="0"/>
    <x v="0"/>
    <n v="11"/>
    <x v="4"/>
    <x v="56"/>
    <n v="25"/>
    <n v="2.1"/>
    <n v="2023"/>
    <x v="5"/>
    <x v="3"/>
    <n v="2"/>
  </r>
  <r>
    <s v="Call_7436"/>
    <x v="13"/>
    <x v="1"/>
    <n v="86"/>
    <x v="2"/>
    <x v="56"/>
    <n v="68"/>
    <n v="3"/>
    <n v="2023"/>
    <x v="5"/>
    <x v="0"/>
    <n v="3"/>
  </r>
  <r>
    <s v="Call_7437"/>
    <x v="2"/>
    <x v="1"/>
    <n v="28"/>
    <x v="4"/>
    <x v="56"/>
    <n v="84"/>
    <n v="3.2"/>
    <n v="2023"/>
    <x v="5"/>
    <x v="3"/>
    <n v="3"/>
  </r>
  <r>
    <s v="Call_7438"/>
    <x v="4"/>
    <x v="0"/>
    <n v="139"/>
    <x v="1"/>
    <x v="57"/>
    <n v="88"/>
    <n v="3.4"/>
    <n v="2023"/>
    <x v="6"/>
    <x v="1"/>
    <n v="3"/>
  </r>
  <r>
    <s v="Call_7439"/>
    <x v="10"/>
    <x v="1"/>
    <n v="82"/>
    <x v="2"/>
    <x v="57"/>
    <n v="93"/>
    <n v="2.7"/>
    <n v="2023"/>
    <x v="6"/>
    <x v="0"/>
    <n v="3"/>
  </r>
  <r>
    <s v="Call_7440"/>
    <x v="1"/>
    <x v="0"/>
    <n v="101"/>
    <x v="4"/>
    <x v="57"/>
    <n v="128"/>
    <n v="5"/>
    <n v="2023"/>
    <x v="6"/>
    <x v="0"/>
    <n v="5"/>
  </r>
  <r>
    <s v="Call_7441"/>
    <x v="2"/>
    <x v="1"/>
    <n v="75"/>
    <x v="3"/>
    <x v="57"/>
    <n v="40"/>
    <n v="3.4"/>
    <n v="2023"/>
    <x v="6"/>
    <x v="0"/>
    <n v="3"/>
  </r>
  <r>
    <s v="Call_7442"/>
    <x v="6"/>
    <x v="2"/>
    <n v="40"/>
    <x v="4"/>
    <x v="58"/>
    <n v="92"/>
    <n v="4.7"/>
    <n v="2023"/>
    <x v="0"/>
    <x v="2"/>
    <n v="5"/>
  </r>
  <r>
    <s v="Call_7443"/>
    <x v="8"/>
    <x v="2"/>
    <n v="86"/>
    <x v="1"/>
    <x v="58"/>
    <n v="27"/>
    <n v="4.5"/>
    <n v="2023"/>
    <x v="0"/>
    <x v="0"/>
    <n v="5"/>
  </r>
  <r>
    <s v="Call_7444"/>
    <x v="5"/>
    <x v="2"/>
    <n v="131"/>
    <x v="0"/>
    <x v="58"/>
    <n v="140"/>
    <n v="4.0999999999999996"/>
    <n v="2023"/>
    <x v="0"/>
    <x v="1"/>
    <n v="4"/>
  </r>
  <r>
    <s v="Call_7445"/>
    <x v="12"/>
    <x v="0"/>
    <n v="67"/>
    <x v="2"/>
    <x v="58"/>
    <n v="40"/>
    <n v="5"/>
    <n v="2023"/>
    <x v="0"/>
    <x v="0"/>
    <n v="5"/>
  </r>
  <r>
    <s v="Call_7446"/>
    <x v="14"/>
    <x v="2"/>
    <n v="71"/>
    <x v="4"/>
    <x v="58"/>
    <n v="102"/>
    <n v="4.7"/>
    <n v="2023"/>
    <x v="0"/>
    <x v="0"/>
    <n v="5"/>
  </r>
  <r>
    <s v="Call_7447"/>
    <x v="5"/>
    <x v="2"/>
    <n v="113"/>
    <x v="0"/>
    <x v="58"/>
    <n v="42"/>
    <n v="4.2"/>
    <n v="2023"/>
    <x v="0"/>
    <x v="0"/>
    <n v="4"/>
  </r>
  <r>
    <s v="Call_7448"/>
    <x v="10"/>
    <x v="1"/>
    <n v="53"/>
    <x v="1"/>
    <x v="59"/>
    <n v="210"/>
    <n v="3.9"/>
    <n v="2023"/>
    <x v="1"/>
    <x v="2"/>
    <n v="4"/>
  </r>
  <r>
    <s v="Call_7449"/>
    <x v="5"/>
    <x v="2"/>
    <n v="153"/>
    <x v="2"/>
    <x v="59"/>
    <n v="34"/>
    <n v="3"/>
    <n v="2023"/>
    <x v="1"/>
    <x v="1"/>
    <n v="3"/>
  </r>
  <r>
    <s v="Call_7450"/>
    <x v="12"/>
    <x v="0"/>
    <n v="73"/>
    <x v="3"/>
    <x v="59"/>
    <n v="215"/>
    <n v="3.6"/>
    <n v="2023"/>
    <x v="1"/>
    <x v="0"/>
    <n v="4"/>
  </r>
  <r>
    <s v="Call_7451"/>
    <x v="9"/>
    <x v="1"/>
    <n v="62"/>
    <x v="3"/>
    <x v="59"/>
    <n v="32"/>
    <n v="0.7"/>
    <n v="2023"/>
    <x v="1"/>
    <x v="0"/>
    <n v="1"/>
  </r>
  <r>
    <s v="Call_7452"/>
    <x v="4"/>
    <x v="0"/>
    <n v="115"/>
    <x v="1"/>
    <x v="60"/>
    <n v="48"/>
    <n v="4.7"/>
    <n v="2023"/>
    <x v="2"/>
    <x v="0"/>
    <n v="5"/>
  </r>
  <r>
    <s v="Call_7453"/>
    <x v="5"/>
    <x v="2"/>
    <n v="69"/>
    <x v="1"/>
    <x v="60"/>
    <n v="132"/>
    <n v="4.5"/>
    <n v="2023"/>
    <x v="2"/>
    <x v="0"/>
    <n v="5"/>
  </r>
  <r>
    <s v="Call_7454"/>
    <x v="8"/>
    <x v="2"/>
    <n v="103"/>
    <x v="0"/>
    <x v="60"/>
    <n v="172"/>
    <n v="4.3"/>
    <n v="2023"/>
    <x v="2"/>
    <x v="0"/>
    <n v="4"/>
  </r>
  <r>
    <s v="Call_7455"/>
    <x v="8"/>
    <x v="2"/>
    <n v="75"/>
    <x v="0"/>
    <x v="60"/>
    <n v="111"/>
    <n v="3.4"/>
    <n v="2023"/>
    <x v="2"/>
    <x v="0"/>
    <n v="3"/>
  </r>
  <r>
    <s v="Call_7456"/>
    <x v="7"/>
    <x v="2"/>
    <n v="92"/>
    <x v="0"/>
    <x v="60"/>
    <n v="58"/>
    <n v="3.6"/>
    <n v="2023"/>
    <x v="2"/>
    <x v="0"/>
    <n v="4"/>
  </r>
  <r>
    <s v="Call_7457"/>
    <x v="7"/>
    <x v="2"/>
    <n v="41"/>
    <x v="3"/>
    <x v="60"/>
    <n v="68"/>
    <n v="4"/>
    <n v="2023"/>
    <x v="2"/>
    <x v="2"/>
    <n v="4"/>
  </r>
  <r>
    <s v="Call_7458"/>
    <x v="8"/>
    <x v="2"/>
    <n v="134"/>
    <x v="2"/>
    <x v="60"/>
    <n v="160"/>
    <n v="4.5"/>
    <n v="2023"/>
    <x v="2"/>
    <x v="1"/>
    <n v="5"/>
  </r>
  <r>
    <s v="Call_7459"/>
    <x v="13"/>
    <x v="1"/>
    <n v="80"/>
    <x v="4"/>
    <x v="60"/>
    <n v="45"/>
    <n v="3"/>
    <n v="2023"/>
    <x v="2"/>
    <x v="0"/>
    <n v="3"/>
  </r>
  <r>
    <s v="Call_7460"/>
    <x v="14"/>
    <x v="2"/>
    <n v="103"/>
    <x v="1"/>
    <x v="61"/>
    <n v="117"/>
    <n v="3"/>
    <n v="2023"/>
    <x v="3"/>
    <x v="0"/>
    <n v="3"/>
  </r>
  <r>
    <s v="Call_7461"/>
    <x v="10"/>
    <x v="1"/>
    <n v="20"/>
    <x v="0"/>
    <x v="62"/>
    <n v="22"/>
    <n v="1.6"/>
    <n v="2023"/>
    <x v="4"/>
    <x v="3"/>
    <n v="2"/>
  </r>
  <r>
    <s v="Call_7462"/>
    <x v="14"/>
    <x v="2"/>
    <n v="75"/>
    <x v="4"/>
    <x v="62"/>
    <n v="195"/>
    <n v="3"/>
    <n v="2023"/>
    <x v="4"/>
    <x v="0"/>
    <n v="3"/>
  </r>
  <r>
    <s v="Call_7463"/>
    <x v="7"/>
    <x v="2"/>
    <n v="80"/>
    <x v="2"/>
    <x v="62"/>
    <n v="168"/>
    <n v="3.7"/>
    <n v="2023"/>
    <x v="4"/>
    <x v="0"/>
    <n v="4"/>
  </r>
  <r>
    <s v="Call_7464"/>
    <x v="5"/>
    <x v="2"/>
    <n v="85"/>
    <x v="3"/>
    <x v="63"/>
    <n v="46"/>
    <n v="4.9000000000000004"/>
    <n v="2023"/>
    <x v="5"/>
    <x v="0"/>
    <n v="5"/>
  </r>
  <r>
    <s v="Call_7465"/>
    <x v="1"/>
    <x v="0"/>
    <n v="155"/>
    <x v="0"/>
    <x v="63"/>
    <n v="164"/>
    <n v="3.4"/>
    <n v="2023"/>
    <x v="5"/>
    <x v="1"/>
    <n v="3"/>
  </r>
  <r>
    <s v="Call_7466"/>
    <x v="5"/>
    <x v="2"/>
    <n v="63"/>
    <x v="3"/>
    <x v="63"/>
    <n v="48"/>
    <n v="5"/>
    <n v="2023"/>
    <x v="5"/>
    <x v="0"/>
    <n v="5"/>
  </r>
  <r>
    <s v="Call_7467"/>
    <x v="2"/>
    <x v="1"/>
    <n v="105"/>
    <x v="1"/>
    <x v="63"/>
    <n v="96"/>
    <n v="5"/>
    <n v="2023"/>
    <x v="5"/>
    <x v="0"/>
    <n v="5"/>
  </r>
  <r>
    <s v="Call_7468"/>
    <x v="5"/>
    <x v="2"/>
    <n v="71"/>
    <x v="3"/>
    <x v="63"/>
    <n v="105"/>
    <n v="4"/>
    <n v="2023"/>
    <x v="5"/>
    <x v="0"/>
    <n v="4"/>
  </r>
  <r>
    <s v="Call_7469"/>
    <x v="1"/>
    <x v="0"/>
    <n v="100"/>
    <x v="3"/>
    <x v="64"/>
    <n v="44"/>
    <n v="3.6"/>
    <n v="2023"/>
    <x v="6"/>
    <x v="0"/>
    <n v="4"/>
  </r>
  <r>
    <s v="Call_7470"/>
    <x v="0"/>
    <x v="0"/>
    <n v="93"/>
    <x v="2"/>
    <x v="64"/>
    <n v="132"/>
    <n v="3.7"/>
    <n v="2023"/>
    <x v="6"/>
    <x v="0"/>
    <n v="4"/>
  </r>
  <r>
    <s v="Call_7471"/>
    <x v="2"/>
    <x v="1"/>
    <n v="84"/>
    <x v="0"/>
    <x v="64"/>
    <n v="54"/>
    <n v="4.2"/>
    <n v="2023"/>
    <x v="6"/>
    <x v="0"/>
    <n v="4"/>
  </r>
  <r>
    <s v="Call_7472"/>
    <x v="13"/>
    <x v="1"/>
    <n v="56"/>
    <x v="4"/>
    <x v="64"/>
    <n v="129"/>
    <n v="2.1"/>
    <n v="2023"/>
    <x v="6"/>
    <x v="2"/>
    <n v="2"/>
  </r>
  <r>
    <s v="Call_7473"/>
    <x v="13"/>
    <x v="1"/>
    <n v="63"/>
    <x v="3"/>
    <x v="64"/>
    <n v="42"/>
    <n v="4"/>
    <n v="2023"/>
    <x v="6"/>
    <x v="0"/>
    <n v="4"/>
  </r>
  <r>
    <s v="Call_7474"/>
    <x v="9"/>
    <x v="1"/>
    <n v="83"/>
    <x v="3"/>
    <x v="64"/>
    <n v="42"/>
    <n v="4.2"/>
    <n v="2023"/>
    <x v="6"/>
    <x v="0"/>
    <n v="4"/>
  </r>
  <r>
    <s v="Call_7475"/>
    <x v="7"/>
    <x v="2"/>
    <n v="134"/>
    <x v="0"/>
    <x v="64"/>
    <n v="180"/>
    <n v="3.1"/>
    <n v="2023"/>
    <x v="6"/>
    <x v="1"/>
    <n v="3"/>
  </r>
  <r>
    <s v="Call_7476"/>
    <x v="4"/>
    <x v="0"/>
    <n v="73"/>
    <x v="3"/>
    <x v="65"/>
    <n v="34"/>
    <n v="4.8"/>
    <n v="2023"/>
    <x v="0"/>
    <x v="0"/>
    <n v="5"/>
  </r>
  <r>
    <s v="Call_7477"/>
    <x v="14"/>
    <x v="2"/>
    <n v="6"/>
    <x v="4"/>
    <x v="65"/>
    <n v="29"/>
    <n v="4.7"/>
    <n v="2023"/>
    <x v="0"/>
    <x v="4"/>
    <n v="5"/>
  </r>
  <r>
    <s v="Call_7478"/>
    <x v="12"/>
    <x v="0"/>
    <n v="46"/>
    <x v="1"/>
    <x v="65"/>
    <n v="165"/>
    <n v="3.3"/>
    <n v="2023"/>
    <x v="0"/>
    <x v="2"/>
    <n v="3"/>
  </r>
  <r>
    <s v="Call_7479"/>
    <x v="14"/>
    <x v="2"/>
    <n v="121"/>
    <x v="3"/>
    <x v="66"/>
    <n v="32"/>
    <n v="3.7"/>
    <n v="2023"/>
    <x v="1"/>
    <x v="1"/>
    <n v="4"/>
  </r>
  <r>
    <s v="Call_7480"/>
    <x v="13"/>
    <x v="1"/>
    <n v="61"/>
    <x v="2"/>
    <x v="66"/>
    <n v="160"/>
    <n v="4.9000000000000004"/>
    <n v="2023"/>
    <x v="1"/>
    <x v="0"/>
    <n v="5"/>
  </r>
  <r>
    <s v="Call_7481"/>
    <x v="7"/>
    <x v="2"/>
    <n v="144"/>
    <x v="0"/>
    <x v="66"/>
    <n v="140"/>
    <n v="3.5"/>
    <n v="2023"/>
    <x v="1"/>
    <x v="1"/>
    <n v="4"/>
  </r>
  <r>
    <s v="Call_7482"/>
    <x v="12"/>
    <x v="0"/>
    <n v="145"/>
    <x v="0"/>
    <x v="66"/>
    <n v="136"/>
    <n v="4.4000000000000004"/>
    <n v="2023"/>
    <x v="1"/>
    <x v="1"/>
    <n v="4"/>
  </r>
  <r>
    <s v="Call_7483"/>
    <x v="2"/>
    <x v="1"/>
    <n v="85"/>
    <x v="4"/>
    <x v="66"/>
    <n v="66"/>
    <n v="2.8"/>
    <n v="2023"/>
    <x v="1"/>
    <x v="0"/>
    <n v="3"/>
  </r>
  <r>
    <s v="Call_7484"/>
    <x v="12"/>
    <x v="0"/>
    <n v="13"/>
    <x v="2"/>
    <x v="67"/>
    <n v="63"/>
    <n v="4.0999999999999996"/>
    <n v="2023"/>
    <x v="2"/>
    <x v="3"/>
    <n v="4"/>
  </r>
  <r>
    <s v="Call_7485"/>
    <x v="0"/>
    <x v="0"/>
    <n v="142"/>
    <x v="3"/>
    <x v="67"/>
    <n v="44"/>
    <n v="3.5"/>
    <n v="2023"/>
    <x v="2"/>
    <x v="1"/>
    <n v="4"/>
  </r>
  <r>
    <s v="Call_7486"/>
    <x v="7"/>
    <x v="2"/>
    <n v="28"/>
    <x v="1"/>
    <x v="67"/>
    <n v="78"/>
    <n v="3.8"/>
    <n v="2023"/>
    <x v="2"/>
    <x v="3"/>
    <n v="4"/>
  </r>
  <r>
    <s v="Call_7487"/>
    <x v="7"/>
    <x v="2"/>
    <n v="119"/>
    <x v="3"/>
    <x v="67"/>
    <n v="20"/>
    <n v="3.9"/>
    <n v="2023"/>
    <x v="2"/>
    <x v="0"/>
    <n v="4"/>
  </r>
  <r>
    <s v="Call_7488"/>
    <x v="14"/>
    <x v="2"/>
    <n v="65"/>
    <x v="4"/>
    <x v="67"/>
    <n v="84"/>
    <n v="2.5"/>
    <n v="2023"/>
    <x v="2"/>
    <x v="0"/>
    <n v="3"/>
  </r>
  <r>
    <s v="Call_7489"/>
    <x v="8"/>
    <x v="2"/>
    <n v="68"/>
    <x v="4"/>
    <x v="67"/>
    <n v="32"/>
    <n v="4.9000000000000004"/>
    <n v="2023"/>
    <x v="2"/>
    <x v="0"/>
    <n v="5"/>
  </r>
  <r>
    <s v="Call_7490"/>
    <x v="9"/>
    <x v="1"/>
    <n v="72"/>
    <x v="1"/>
    <x v="67"/>
    <n v="132"/>
    <n v="3.4"/>
    <n v="2023"/>
    <x v="2"/>
    <x v="0"/>
    <n v="3"/>
  </r>
  <r>
    <s v="Call_7491"/>
    <x v="9"/>
    <x v="1"/>
    <n v="63"/>
    <x v="0"/>
    <x v="67"/>
    <n v="105"/>
    <n v="3.3"/>
    <n v="2023"/>
    <x v="2"/>
    <x v="0"/>
    <n v="3"/>
  </r>
  <r>
    <s v="Call_7492"/>
    <x v="1"/>
    <x v="0"/>
    <n v="139"/>
    <x v="3"/>
    <x v="68"/>
    <n v="48"/>
    <n v="4.7"/>
    <n v="2023"/>
    <x v="3"/>
    <x v="1"/>
    <n v="5"/>
  </r>
  <r>
    <s v="Call_7493"/>
    <x v="7"/>
    <x v="2"/>
    <n v="59"/>
    <x v="3"/>
    <x v="68"/>
    <n v="64"/>
    <n v="4"/>
    <n v="2023"/>
    <x v="3"/>
    <x v="2"/>
    <n v="4"/>
  </r>
  <r>
    <s v="Call_7494"/>
    <x v="10"/>
    <x v="1"/>
    <n v="138"/>
    <x v="0"/>
    <x v="68"/>
    <n v="44"/>
    <n v="3.8"/>
    <n v="2023"/>
    <x v="3"/>
    <x v="1"/>
    <n v="4"/>
  </r>
  <r>
    <s v="Call_7495"/>
    <x v="1"/>
    <x v="0"/>
    <n v="47"/>
    <x v="1"/>
    <x v="68"/>
    <n v="120"/>
    <n v="3.1"/>
    <n v="2023"/>
    <x v="3"/>
    <x v="2"/>
    <n v="3"/>
  </r>
  <r>
    <s v="Call_7496"/>
    <x v="10"/>
    <x v="1"/>
    <n v="74"/>
    <x v="1"/>
    <x v="68"/>
    <n v="144"/>
    <n v="4.8"/>
    <n v="2023"/>
    <x v="3"/>
    <x v="0"/>
    <n v="5"/>
  </r>
  <r>
    <s v="Call_7497"/>
    <x v="9"/>
    <x v="1"/>
    <n v="65"/>
    <x v="1"/>
    <x v="68"/>
    <n v="87"/>
    <n v="2.7"/>
    <n v="2023"/>
    <x v="3"/>
    <x v="0"/>
    <n v="3"/>
  </r>
  <r>
    <s v="Call_7498"/>
    <x v="4"/>
    <x v="0"/>
    <n v="123"/>
    <x v="4"/>
    <x v="68"/>
    <n v="36"/>
    <n v="3.6"/>
    <n v="2023"/>
    <x v="3"/>
    <x v="1"/>
    <n v="4"/>
  </r>
  <r>
    <s v="Call_7499"/>
    <x v="9"/>
    <x v="1"/>
    <n v="90"/>
    <x v="3"/>
    <x v="69"/>
    <n v="72"/>
    <n v="4.7"/>
    <n v="2023"/>
    <x v="4"/>
    <x v="0"/>
    <n v="5"/>
  </r>
  <r>
    <s v="Call_7500"/>
    <x v="13"/>
    <x v="1"/>
    <n v="127"/>
    <x v="0"/>
    <x v="69"/>
    <n v="150"/>
    <n v="4.4000000000000004"/>
    <n v="2023"/>
    <x v="4"/>
    <x v="1"/>
    <n v="4"/>
  </r>
  <r>
    <s v="Call_7501"/>
    <x v="3"/>
    <x v="1"/>
    <n v="60"/>
    <x v="1"/>
    <x v="69"/>
    <n v="68"/>
    <n v="4.3"/>
    <n v="2023"/>
    <x v="4"/>
    <x v="2"/>
    <n v="4"/>
  </r>
  <r>
    <s v="Call_7502"/>
    <x v="1"/>
    <x v="0"/>
    <n v="94"/>
    <x v="0"/>
    <x v="69"/>
    <n v="99"/>
    <n v="4.9000000000000004"/>
    <n v="2023"/>
    <x v="4"/>
    <x v="0"/>
    <n v="5"/>
  </r>
  <r>
    <s v="Call_7503"/>
    <x v="4"/>
    <x v="0"/>
    <n v="54"/>
    <x v="1"/>
    <x v="69"/>
    <n v="26"/>
    <n v="4.8"/>
    <n v="2023"/>
    <x v="4"/>
    <x v="2"/>
    <n v="5"/>
  </r>
  <r>
    <s v="Call_7504"/>
    <x v="9"/>
    <x v="1"/>
    <n v="104"/>
    <x v="1"/>
    <x v="69"/>
    <n v="88"/>
    <n v="3.2"/>
    <n v="2023"/>
    <x v="4"/>
    <x v="0"/>
    <n v="3"/>
  </r>
  <r>
    <s v="Call_7505"/>
    <x v="5"/>
    <x v="2"/>
    <n v="100"/>
    <x v="1"/>
    <x v="69"/>
    <n v="124"/>
    <n v="3.4"/>
    <n v="2023"/>
    <x v="4"/>
    <x v="0"/>
    <n v="3"/>
  </r>
  <r>
    <s v="Call_7506"/>
    <x v="10"/>
    <x v="1"/>
    <n v="84"/>
    <x v="1"/>
    <x v="69"/>
    <n v="72"/>
    <n v="3.5"/>
    <n v="2023"/>
    <x v="4"/>
    <x v="0"/>
    <n v="4"/>
  </r>
  <r>
    <s v="Call_7507"/>
    <x v="0"/>
    <x v="0"/>
    <n v="92"/>
    <x v="2"/>
    <x v="70"/>
    <n v="125"/>
    <n v="4.9000000000000004"/>
    <n v="2023"/>
    <x v="5"/>
    <x v="0"/>
    <n v="5"/>
  </r>
  <r>
    <s v="Call_7508"/>
    <x v="6"/>
    <x v="2"/>
    <n v="64"/>
    <x v="0"/>
    <x v="70"/>
    <n v="22"/>
    <n v="4.0999999999999996"/>
    <n v="2023"/>
    <x v="5"/>
    <x v="0"/>
    <n v="4"/>
  </r>
  <r>
    <s v="Call_7509"/>
    <x v="2"/>
    <x v="1"/>
    <n v="89"/>
    <x v="3"/>
    <x v="71"/>
    <n v="70"/>
    <n v="4.9000000000000004"/>
    <n v="2023"/>
    <x v="6"/>
    <x v="0"/>
    <n v="5"/>
  </r>
  <r>
    <s v="Call_7510"/>
    <x v="11"/>
    <x v="2"/>
    <n v="40"/>
    <x v="1"/>
    <x v="71"/>
    <n v="24"/>
    <n v="4.3"/>
    <n v="2023"/>
    <x v="6"/>
    <x v="2"/>
    <n v="4"/>
  </r>
  <r>
    <s v="Call_7511"/>
    <x v="7"/>
    <x v="2"/>
    <n v="75"/>
    <x v="4"/>
    <x v="71"/>
    <n v="32"/>
    <n v="4.0999999999999996"/>
    <n v="2023"/>
    <x v="6"/>
    <x v="0"/>
    <n v="4"/>
  </r>
  <r>
    <s v="Call_7512"/>
    <x v="13"/>
    <x v="1"/>
    <n v="106"/>
    <x v="2"/>
    <x v="71"/>
    <n v="112"/>
    <n v="4.4000000000000004"/>
    <n v="2023"/>
    <x v="6"/>
    <x v="0"/>
    <n v="4"/>
  </r>
  <r>
    <s v="Call_7513"/>
    <x v="6"/>
    <x v="2"/>
    <n v="58"/>
    <x v="1"/>
    <x v="72"/>
    <n v="43"/>
    <n v="4.5"/>
    <n v="2023"/>
    <x v="0"/>
    <x v="2"/>
    <n v="5"/>
  </r>
  <r>
    <s v="Call_7514"/>
    <x v="10"/>
    <x v="1"/>
    <n v="84"/>
    <x v="2"/>
    <x v="72"/>
    <n v="22"/>
    <n v="3.5"/>
    <n v="2023"/>
    <x v="0"/>
    <x v="0"/>
    <n v="4"/>
  </r>
  <r>
    <s v="Call_7515"/>
    <x v="9"/>
    <x v="1"/>
    <n v="140"/>
    <x v="2"/>
    <x v="72"/>
    <n v="93"/>
    <n v="4.4000000000000004"/>
    <n v="2023"/>
    <x v="0"/>
    <x v="1"/>
    <n v="4"/>
  </r>
  <r>
    <s v="Call_7516"/>
    <x v="6"/>
    <x v="2"/>
    <n v="67"/>
    <x v="2"/>
    <x v="72"/>
    <n v="45"/>
    <n v="3.5"/>
    <n v="2023"/>
    <x v="0"/>
    <x v="0"/>
    <n v="4"/>
  </r>
  <r>
    <s v="Call_7517"/>
    <x v="1"/>
    <x v="0"/>
    <n v="126"/>
    <x v="2"/>
    <x v="73"/>
    <n v="96"/>
    <n v="3.8"/>
    <n v="2023"/>
    <x v="1"/>
    <x v="1"/>
    <n v="4"/>
  </r>
  <r>
    <s v="Call_7518"/>
    <x v="1"/>
    <x v="0"/>
    <n v="89"/>
    <x v="1"/>
    <x v="73"/>
    <n v="96"/>
    <n v="3.3"/>
    <n v="2023"/>
    <x v="1"/>
    <x v="0"/>
    <n v="3"/>
  </r>
  <r>
    <s v="Call_7519"/>
    <x v="2"/>
    <x v="1"/>
    <n v="56"/>
    <x v="0"/>
    <x v="73"/>
    <n v="31"/>
    <n v="4.4000000000000004"/>
    <n v="2023"/>
    <x v="1"/>
    <x v="2"/>
    <n v="4"/>
  </r>
  <r>
    <s v="Call_7520"/>
    <x v="4"/>
    <x v="0"/>
    <n v="48"/>
    <x v="1"/>
    <x v="73"/>
    <n v="200"/>
    <n v="3.9"/>
    <n v="2023"/>
    <x v="1"/>
    <x v="2"/>
    <n v="4"/>
  </r>
  <r>
    <s v="Call_7521"/>
    <x v="1"/>
    <x v="0"/>
    <n v="55"/>
    <x v="0"/>
    <x v="73"/>
    <n v="99"/>
    <n v="2.7"/>
    <n v="2023"/>
    <x v="1"/>
    <x v="2"/>
    <n v="3"/>
  </r>
  <r>
    <s v="Call_7522"/>
    <x v="3"/>
    <x v="1"/>
    <n v="88"/>
    <x v="4"/>
    <x v="73"/>
    <n v="144"/>
    <n v="2.9"/>
    <n v="2023"/>
    <x v="1"/>
    <x v="0"/>
    <n v="3"/>
  </r>
  <r>
    <s v="Call_7523"/>
    <x v="2"/>
    <x v="1"/>
    <n v="102"/>
    <x v="2"/>
    <x v="74"/>
    <n v="81"/>
    <n v="4"/>
    <n v="2023"/>
    <x v="2"/>
    <x v="0"/>
    <n v="4"/>
  </r>
  <r>
    <s v="Call_7524"/>
    <x v="3"/>
    <x v="1"/>
    <n v="155"/>
    <x v="4"/>
    <x v="74"/>
    <n v="70"/>
    <n v="4.4000000000000004"/>
    <n v="2023"/>
    <x v="2"/>
    <x v="1"/>
    <n v="4"/>
  </r>
  <r>
    <s v="Call_7525"/>
    <x v="1"/>
    <x v="0"/>
    <n v="63"/>
    <x v="4"/>
    <x v="74"/>
    <n v="148"/>
    <n v="5"/>
    <n v="2023"/>
    <x v="2"/>
    <x v="0"/>
    <n v="5"/>
  </r>
  <r>
    <s v="Call_7526"/>
    <x v="5"/>
    <x v="2"/>
    <n v="59"/>
    <x v="2"/>
    <x v="74"/>
    <n v="215"/>
    <n v="4.0999999999999996"/>
    <n v="2023"/>
    <x v="2"/>
    <x v="2"/>
    <n v="4"/>
  </r>
  <r>
    <s v="Call_7527"/>
    <x v="5"/>
    <x v="2"/>
    <n v="144"/>
    <x v="1"/>
    <x v="74"/>
    <n v="124"/>
    <n v="4.4000000000000004"/>
    <n v="2023"/>
    <x v="2"/>
    <x v="1"/>
    <n v="4"/>
  </r>
  <r>
    <s v="Call_7528"/>
    <x v="10"/>
    <x v="1"/>
    <n v="113"/>
    <x v="3"/>
    <x v="74"/>
    <n v="168"/>
    <n v="4.0999999999999996"/>
    <n v="2023"/>
    <x v="2"/>
    <x v="0"/>
    <n v="4"/>
  </r>
  <r>
    <s v="Call_7529"/>
    <x v="12"/>
    <x v="0"/>
    <n v="154"/>
    <x v="0"/>
    <x v="74"/>
    <n v="90"/>
    <n v="4.5"/>
    <n v="2023"/>
    <x v="2"/>
    <x v="1"/>
    <n v="5"/>
  </r>
  <r>
    <s v="Call_7530"/>
    <x v="12"/>
    <x v="0"/>
    <n v="58"/>
    <x v="2"/>
    <x v="75"/>
    <n v="176"/>
    <n v="4.2"/>
    <n v="2023"/>
    <x v="3"/>
    <x v="2"/>
    <n v="4"/>
  </r>
  <r>
    <s v="Call_7531"/>
    <x v="4"/>
    <x v="0"/>
    <n v="63"/>
    <x v="4"/>
    <x v="75"/>
    <n v="87"/>
    <n v="4.5999999999999996"/>
    <n v="2023"/>
    <x v="3"/>
    <x v="0"/>
    <n v="5"/>
  </r>
  <r>
    <s v="Call_7532"/>
    <x v="9"/>
    <x v="1"/>
    <n v="59"/>
    <x v="1"/>
    <x v="75"/>
    <n v="128"/>
    <n v="4.5"/>
    <n v="2023"/>
    <x v="3"/>
    <x v="2"/>
    <n v="5"/>
  </r>
  <r>
    <s v="Call_7533"/>
    <x v="14"/>
    <x v="2"/>
    <n v="129"/>
    <x v="4"/>
    <x v="75"/>
    <n v="120"/>
    <n v="4.0999999999999996"/>
    <n v="2023"/>
    <x v="3"/>
    <x v="1"/>
    <n v="4"/>
  </r>
  <r>
    <s v="Call_7534"/>
    <x v="8"/>
    <x v="2"/>
    <n v="101"/>
    <x v="3"/>
    <x v="75"/>
    <n v="130"/>
    <n v="4.8"/>
    <n v="2023"/>
    <x v="3"/>
    <x v="0"/>
    <n v="5"/>
  </r>
  <r>
    <s v="Call_7535"/>
    <x v="11"/>
    <x v="2"/>
    <n v="154"/>
    <x v="1"/>
    <x v="75"/>
    <n v="172"/>
    <n v="3.1"/>
    <n v="2023"/>
    <x v="3"/>
    <x v="1"/>
    <n v="3"/>
  </r>
  <r>
    <s v="Call_7536"/>
    <x v="6"/>
    <x v="2"/>
    <n v="131"/>
    <x v="1"/>
    <x v="75"/>
    <n v="58"/>
    <n v="4.9000000000000004"/>
    <n v="2023"/>
    <x v="3"/>
    <x v="1"/>
    <n v="5"/>
  </r>
  <r>
    <s v="Call_7537"/>
    <x v="5"/>
    <x v="2"/>
    <n v="111"/>
    <x v="3"/>
    <x v="76"/>
    <n v="86"/>
    <n v="4.0999999999999996"/>
    <n v="2023"/>
    <x v="4"/>
    <x v="0"/>
    <n v="4"/>
  </r>
  <r>
    <s v="Call_7538"/>
    <x v="12"/>
    <x v="0"/>
    <n v="142"/>
    <x v="3"/>
    <x v="77"/>
    <n v="31"/>
    <n v="4.4000000000000004"/>
    <n v="2023"/>
    <x v="5"/>
    <x v="1"/>
    <n v="4"/>
  </r>
  <r>
    <s v="Call_7539"/>
    <x v="2"/>
    <x v="1"/>
    <n v="93"/>
    <x v="4"/>
    <x v="77"/>
    <n v="72"/>
    <n v="4.4000000000000004"/>
    <n v="2023"/>
    <x v="5"/>
    <x v="0"/>
    <n v="4"/>
  </r>
  <r>
    <s v="Call_7540"/>
    <x v="12"/>
    <x v="0"/>
    <n v="125"/>
    <x v="0"/>
    <x v="78"/>
    <n v="27"/>
    <n v="3"/>
    <n v="2023"/>
    <x v="6"/>
    <x v="1"/>
    <n v="3"/>
  </r>
  <r>
    <s v="Call_7541"/>
    <x v="14"/>
    <x v="2"/>
    <n v="76"/>
    <x v="1"/>
    <x v="78"/>
    <n v="110"/>
    <n v="4.4000000000000004"/>
    <n v="2023"/>
    <x v="6"/>
    <x v="0"/>
    <n v="4"/>
  </r>
  <r>
    <s v="Call_7542"/>
    <x v="10"/>
    <x v="1"/>
    <n v="69"/>
    <x v="4"/>
    <x v="78"/>
    <n v="126"/>
    <n v="3.7"/>
    <n v="2023"/>
    <x v="6"/>
    <x v="0"/>
    <n v="4"/>
  </r>
  <r>
    <s v="Call_7543"/>
    <x v="9"/>
    <x v="1"/>
    <n v="149"/>
    <x v="0"/>
    <x v="78"/>
    <n v="60"/>
    <n v="3.9"/>
    <n v="2023"/>
    <x v="6"/>
    <x v="1"/>
    <n v="4"/>
  </r>
  <r>
    <s v="Call_7544"/>
    <x v="12"/>
    <x v="0"/>
    <n v="57"/>
    <x v="4"/>
    <x v="78"/>
    <n v="35"/>
    <n v="3.5"/>
    <n v="2023"/>
    <x v="6"/>
    <x v="2"/>
    <n v="4"/>
  </r>
  <r>
    <s v="Call_7545"/>
    <x v="1"/>
    <x v="0"/>
    <n v="113"/>
    <x v="1"/>
    <x v="78"/>
    <n v="81"/>
    <n v="3.5"/>
    <n v="2023"/>
    <x v="6"/>
    <x v="0"/>
    <n v="4"/>
  </r>
  <r>
    <s v="Call_7546"/>
    <x v="0"/>
    <x v="0"/>
    <n v="160"/>
    <x v="0"/>
    <x v="78"/>
    <n v="116"/>
    <n v="3.4"/>
    <n v="2023"/>
    <x v="6"/>
    <x v="1"/>
    <n v="3"/>
  </r>
  <r>
    <s v="Call_7547"/>
    <x v="4"/>
    <x v="0"/>
    <n v="158"/>
    <x v="2"/>
    <x v="78"/>
    <n v="60"/>
    <n v="4.5"/>
    <n v="2023"/>
    <x v="6"/>
    <x v="1"/>
    <n v="5"/>
  </r>
  <r>
    <s v="Call_7548"/>
    <x v="10"/>
    <x v="1"/>
    <n v="77"/>
    <x v="0"/>
    <x v="79"/>
    <n v="130"/>
    <n v="4.2"/>
    <n v="2023"/>
    <x v="0"/>
    <x v="0"/>
    <n v="4"/>
  </r>
  <r>
    <s v="Call_7549"/>
    <x v="7"/>
    <x v="2"/>
    <n v="118"/>
    <x v="3"/>
    <x v="79"/>
    <n v="99"/>
    <n v="5"/>
    <n v="2023"/>
    <x v="0"/>
    <x v="0"/>
    <n v="5"/>
  </r>
  <r>
    <s v="Call_7550"/>
    <x v="11"/>
    <x v="2"/>
    <n v="75"/>
    <x v="1"/>
    <x v="79"/>
    <n v="135"/>
    <n v="4.7"/>
    <n v="2023"/>
    <x v="0"/>
    <x v="0"/>
    <n v="5"/>
  </r>
  <r>
    <s v="Call_7551"/>
    <x v="1"/>
    <x v="0"/>
    <n v="103"/>
    <x v="0"/>
    <x v="79"/>
    <n v="42"/>
    <n v="2.8"/>
    <n v="2023"/>
    <x v="0"/>
    <x v="0"/>
    <n v="3"/>
  </r>
  <r>
    <s v="Call_7552"/>
    <x v="10"/>
    <x v="1"/>
    <n v="116"/>
    <x v="3"/>
    <x v="80"/>
    <n v="63"/>
    <n v="3.4"/>
    <n v="2023"/>
    <x v="1"/>
    <x v="0"/>
    <n v="3"/>
  </r>
  <r>
    <s v="Call_7553"/>
    <x v="5"/>
    <x v="2"/>
    <n v="61"/>
    <x v="2"/>
    <x v="80"/>
    <n v="140"/>
    <n v="1.8"/>
    <n v="2023"/>
    <x v="1"/>
    <x v="0"/>
    <n v="2"/>
  </r>
  <r>
    <s v="Call_7554"/>
    <x v="12"/>
    <x v="0"/>
    <n v="126"/>
    <x v="1"/>
    <x v="80"/>
    <n v="128"/>
    <n v="4.2"/>
    <n v="2023"/>
    <x v="1"/>
    <x v="1"/>
    <n v="4"/>
  </r>
  <r>
    <s v="Call_7555"/>
    <x v="8"/>
    <x v="2"/>
    <n v="141"/>
    <x v="4"/>
    <x v="80"/>
    <n v="80"/>
    <n v="4.4000000000000004"/>
    <n v="2023"/>
    <x v="1"/>
    <x v="1"/>
    <n v="4"/>
  </r>
  <r>
    <s v="Call_7556"/>
    <x v="4"/>
    <x v="0"/>
    <n v="95"/>
    <x v="3"/>
    <x v="80"/>
    <n v="28"/>
    <n v="2.7"/>
    <n v="2023"/>
    <x v="1"/>
    <x v="0"/>
    <n v="3"/>
  </r>
  <r>
    <s v="Call_7557"/>
    <x v="11"/>
    <x v="2"/>
    <n v="39"/>
    <x v="2"/>
    <x v="81"/>
    <n v="81"/>
    <n v="5"/>
    <n v="2023"/>
    <x v="2"/>
    <x v="2"/>
    <n v="5"/>
  </r>
  <r>
    <s v="Call_7558"/>
    <x v="1"/>
    <x v="0"/>
    <n v="127"/>
    <x v="1"/>
    <x v="81"/>
    <n v="99"/>
    <n v="3.9"/>
    <n v="2023"/>
    <x v="2"/>
    <x v="1"/>
    <n v="4"/>
  </r>
  <r>
    <s v="Call_7559"/>
    <x v="5"/>
    <x v="2"/>
    <n v="78"/>
    <x v="1"/>
    <x v="81"/>
    <n v="43"/>
    <n v="3.8"/>
    <n v="2023"/>
    <x v="2"/>
    <x v="0"/>
    <n v="4"/>
  </r>
  <r>
    <s v="Call_7560"/>
    <x v="7"/>
    <x v="2"/>
    <n v="40"/>
    <x v="1"/>
    <x v="81"/>
    <n v="34"/>
    <n v="4.5999999999999996"/>
    <n v="2023"/>
    <x v="2"/>
    <x v="2"/>
    <n v="5"/>
  </r>
  <r>
    <s v="Call_7561"/>
    <x v="5"/>
    <x v="2"/>
    <n v="56"/>
    <x v="2"/>
    <x v="81"/>
    <n v="225"/>
    <n v="4.5999999999999996"/>
    <n v="2023"/>
    <x v="2"/>
    <x v="2"/>
    <n v="5"/>
  </r>
  <r>
    <s v="Call_7562"/>
    <x v="11"/>
    <x v="2"/>
    <n v="59"/>
    <x v="4"/>
    <x v="81"/>
    <n v="210"/>
    <n v="4.5"/>
    <n v="2023"/>
    <x v="2"/>
    <x v="2"/>
    <n v="5"/>
  </r>
  <r>
    <s v="Call_7563"/>
    <x v="12"/>
    <x v="0"/>
    <n v="30"/>
    <x v="1"/>
    <x v="81"/>
    <n v="168"/>
    <n v="4.2"/>
    <n v="2023"/>
    <x v="2"/>
    <x v="3"/>
    <n v="4"/>
  </r>
  <r>
    <s v="Call_7564"/>
    <x v="7"/>
    <x v="2"/>
    <n v="63"/>
    <x v="0"/>
    <x v="82"/>
    <n v="82"/>
    <n v="4.5"/>
    <n v="2023"/>
    <x v="3"/>
    <x v="0"/>
    <n v="5"/>
  </r>
  <r>
    <s v="Call_7565"/>
    <x v="2"/>
    <x v="1"/>
    <n v="56"/>
    <x v="3"/>
    <x v="82"/>
    <n v="88"/>
    <n v="4.0999999999999996"/>
    <n v="2023"/>
    <x v="3"/>
    <x v="2"/>
    <n v="4"/>
  </r>
  <r>
    <s v="Call_7566"/>
    <x v="14"/>
    <x v="2"/>
    <n v="95"/>
    <x v="0"/>
    <x v="82"/>
    <n v="111"/>
    <n v="3.3"/>
    <n v="2023"/>
    <x v="3"/>
    <x v="0"/>
    <n v="3"/>
  </r>
  <r>
    <s v="Call_7567"/>
    <x v="13"/>
    <x v="1"/>
    <n v="128"/>
    <x v="4"/>
    <x v="82"/>
    <n v="60"/>
    <n v="3.8"/>
    <n v="2023"/>
    <x v="3"/>
    <x v="1"/>
    <n v="4"/>
  </r>
  <r>
    <s v="Call_7568"/>
    <x v="4"/>
    <x v="0"/>
    <n v="49"/>
    <x v="0"/>
    <x v="82"/>
    <n v="80"/>
    <n v="3"/>
    <n v="2023"/>
    <x v="3"/>
    <x v="2"/>
    <n v="3"/>
  </r>
  <r>
    <s v="Call_7569"/>
    <x v="13"/>
    <x v="1"/>
    <n v="89"/>
    <x v="2"/>
    <x v="83"/>
    <n v="90"/>
    <n v="4.5999999999999996"/>
    <n v="2023"/>
    <x v="5"/>
    <x v="0"/>
    <n v="5"/>
  </r>
  <r>
    <s v="Call_7570"/>
    <x v="9"/>
    <x v="1"/>
    <n v="87"/>
    <x v="0"/>
    <x v="83"/>
    <n v="225"/>
    <n v="2.9"/>
    <n v="2023"/>
    <x v="5"/>
    <x v="0"/>
    <n v="3"/>
  </r>
  <r>
    <s v="Call_7571"/>
    <x v="0"/>
    <x v="0"/>
    <n v="60"/>
    <x v="1"/>
    <x v="84"/>
    <n v="215"/>
    <n v="3.2"/>
    <n v="2023"/>
    <x v="6"/>
    <x v="2"/>
    <n v="3"/>
  </r>
  <r>
    <s v="Call_7572"/>
    <x v="3"/>
    <x v="1"/>
    <n v="42"/>
    <x v="2"/>
    <x v="84"/>
    <n v="45"/>
    <n v="1.5"/>
    <n v="2023"/>
    <x v="6"/>
    <x v="2"/>
    <n v="2"/>
  </r>
  <r>
    <s v="Call_7573"/>
    <x v="6"/>
    <x v="2"/>
    <n v="99"/>
    <x v="1"/>
    <x v="84"/>
    <n v="74"/>
    <n v="4"/>
    <n v="2023"/>
    <x v="6"/>
    <x v="0"/>
    <n v="4"/>
  </r>
  <r>
    <s v="Call_7574"/>
    <x v="2"/>
    <x v="1"/>
    <n v="20"/>
    <x v="2"/>
    <x v="84"/>
    <n v="60"/>
    <n v="3.6"/>
    <n v="2023"/>
    <x v="6"/>
    <x v="3"/>
    <n v="4"/>
  </r>
  <r>
    <s v="Call_7575"/>
    <x v="7"/>
    <x v="2"/>
    <n v="65"/>
    <x v="1"/>
    <x v="84"/>
    <n v="64"/>
    <n v="3.7"/>
    <n v="2023"/>
    <x v="6"/>
    <x v="0"/>
    <n v="4"/>
  </r>
  <r>
    <s v="Call_7576"/>
    <x v="12"/>
    <x v="0"/>
    <n v="71"/>
    <x v="0"/>
    <x v="85"/>
    <n v="110"/>
    <n v="4.8"/>
    <n v="2023"/>
    <x v="0"/>
    <x v="0"/>
    <n v="5"/>
  </r>
  <r>
    <s v="Call_7577"/>
    <x v="1"/>
    <x v="0"/>
    <n v="95"/>
    <x v="4"/>
    <x v="85"/>
    <n v="52"/>
    <n v="1.2"/>
    <n v="2023"/>
    <x v="0"/>
    <x v="0"/>
    <n v="1"/>
  </r>
  <r>
    <s v="Call_7578"/>
    <x v="2"/>
    <x v="1"/>
    <n v="81"/>
    <x v="3"/>
    <x v="86"/>
    <n v="160"/>
    <n v="4.7"/>
    <n v="2023"/>
    <x v="1"/>
    <x v="0"/>
    <n v="5"/>
  </r>
  <r>
    <s v="Call_7579"/>
    <x v="10"/>
    <x v="1"/>
    <n v="137"/>
    <x v="3"/>
    <x v="86"/>
    <n v="215"/>
    <n v="4.7"/>
    <n v="2023"/>
    <x v="1"/>
    <x v="1"/>
    <n v="5"/>
  </r>
  <r>
    <s v="Call_7580"/>
    <x v="10"/>
    <x v="1"/>
    <n v="40"/>
    <x v="4"/>
    <x v="86"/>
    <n v="220"/>
    <n v="4.5"/>
    <n v="2023"/>
    <x v="1"/>
    <x v="2"/>
    <n v="5"/>
  </r>
  <r>
    <s v="Call_7581"/>
    <x v="6"/>
    <x v="2"/>
    <n v="111"/>
    <x v="1"/>
    <x v="87"/>
    <n v="175"/>
    <n v="3.5"/>
    <n v="2023"/>
    <x v="2"/>
    <x v="0"/>
    <n v="4"/>
  </r>
  <r>
    <s v="Call_7582"/>
    <x v="12"/>
    <x v="0"/>
    <n v="106"/>
    <x v="1"/>
    <x v="87"/>
    <n v="145"/>
    <n v="4.0999999999999996"/>
    <n v="2023"/>
    <x v="2"/>
    <x v="0"/>
    <n v="4"/>
  </r>
  <r>
    <s v="Call_7583"/>
    <x v="3"/>
    <x v="1"/>
    <n v="133"/>
    <x v="2"/>
    <x v="87"/>
    <n v="72"/>
    <n v="4.4000000000000004"/>
    <n v="2023"/>
    <x v="2"/>
    <x v="1"/>
    <n v="4"/>
  </r>
  <r>
    <s v="Call_7584"/>
    <x v="5"/>
    <x v="2"/>
    <n v="38"/>
    <x v="1"/>
    <x v="88"/>
    <n v="81"/>
    <n v="3.6"/>
    <n v="2023"/>
    <x v="3"/>
    <x v="2"/>
    <n v="4"/>
  </r>
  <r>
    <s v="Call_7585"/>
    <x v="11"/>
    <x v="2"/>
    <n v="130"/>
    <x v="4"/>
    <x v="88"/>
    <n v="54"/>
    <n v="4.0999999999999996"/>
    <n v="2023"/>
    <x v="3"/>
    <x v="1"/>
    <n v="4"/>
  </r>
  <r>
    <s v="Call_7586"/>
    <x v="7"/>
    <x v="2"/>
    <n v="23"/>
    <x v="2"/>
    <x v="88"/>
    <n v="105"/>
    <n v="4.8"/>
    <n v="2023"/>
    <x v="3"/>
    <x v="3"/>
    <n v="5"/>
  </r>
  <r>
    <s v="Call_7587"/>
    <x v="11"/>
    <x v="2"/>
    <n v="124"/>
    <x v="1"/>
    <x v="89"/>
    <n v="176"/>
    <n v="3.9"/>
    <n v="2023"/>
    <x v="4"/>
    <x v="1"/>
    <n v="4"/>
  </r>
  <r>
    <s v="Call_7588"/>
    <x v="2"/>
    <x v="1"/>
    <n v="107"/>
    <x v="1"/>
    <x v="89"/>
    <n v="115"/>
    <n v="3.8"/>
    <n v="2023"/>
    <x v="4"/>
    <x v="0"/>
    <n v="4"/>
  </r>
  <r>
    <s v="Call_7589"/>
    <x v="10"/>
    <x v="1"/>
    <n v="60"/>
    <x v="0"/>
    <x v="89"/>
    <n v="116"/>
    <n v="3.9"/>
    <n v="2023"/>
    <x v="4"/>
    <x v="2"/>
    <n v="4"/>
  </r>
  <r>
    <s v="Call_7590"/>
    <x v="10"/>
    <x v="1"/>
    <n v="158"/>
    <x v="4"/>
    <x v="89"/>
    <n v="100"/>
    <n v="4.0999999999999996"/>
    <n v="2023"/>
    <x v="4"/>
    <x v="1"/>
    <n v="4"/>
  </r>
  <r>
    <s v="Call_7591"/>
    <x v="9"/>
    <x v="1"/>
    <n v="110"/>
    <x v="4"/>
    <x v="90"/>
    <n v="36"/>
    <n v="2.2000000000000002"/>
    <n v="2023"/>
    <x v="5"/>
    <x v="0"/>
    <n v="2"/>
  </r>
  <r>
    <s v="Call_7592"/>
    <x v="13"/>
    <x v="1"/>
    <n v="70"/>
    <x v="4"/>
    <x v="90"/>
    <n v="114"/>
    <n v="5"/>
    <n v="2023"/>
    <x v="5"/>
    <x v="0"/>
    <n v="5"/>
  </r>
  <r>
    <s v="Call_7593"/>
    <x v="13"/>
    <x v="1"/>
    <n v="150"/>
    <x v="0"/>
    <x v="90"/>
    <n v="24"/>
    <n v="3.8"/>
    <n v="2023"/>
    <x v="5"/>
    <x v="1"/>
    <n v="4"/>
  </r>
  <r>
    <s v="Call_7594"/>
    <x v="5"/>
    <x v="2"/>
    <n v="36"/>
    <x v="1"/>
    <x v="90"/>
    <n v="135"/>
    <n v="4.5999999999999996"/>
    <n v="2023"/>
    <x v="5"/>
    <x v="2"/>
    <n v="5"/>
  </r>
  <r>
    <s v="Call_7595"/>
    <x v="11"/>
    <x v="2"/>
    <n v="74"/>
    <x v="1"/>
    <x v="90"/>
    <n v="30"/>
    <n v="4"/>
    <n v="2023"/>
    <x v="5"/>
    <x v="0"/>
    <n v="4"/>
  </r>
  <r>
    <s v="Call_7596"/>
    <x v="1"/>
    <x v="0"/>
    <n v="75"/>
    <x v="1"/>
    <x v="90"/>
    <n v="84"/>
    <n v="2.8"/>
    <n v="2023"/>
    <x v="5"/>
    <x v="0"/>
    <n v="3"/>
  </r>
  <r>
    <s v="Call_7597"/>
    <x v="14"/>
    <x v="2"/>
    <n v="70"/>
    <x v="3"/>
    <x v="90"/>
    <n v="42"/>
    <n v="4.4000000000000004"/>
    <n v="2023"/>
    <x v="5"/>
    <x v="0"/>
    <n v="4"/>
  </r>
  <r>
    <s v="Call_7598"/>
    <x v="9"/>
    <x v="1"/>
    <n v="23"/>
    <x v="4"/>
    <x v="90"/>
    <n v="117"/>
    <n v="2.4"/>
    <n v="2023"/>
    <x v="5"/>
    <x v="3"/>
    <n v="2"/>
  </r>
  <r>
    <s v="Call_7599"/>
    <x v="6"/>
    <x v="2"/>
    <n v="104"/>
    <x v="2"/>
    <x v="90"/>
    <n v="164"/>
    <n v="4"/>
    <n v="2023"/>
    <x v="5"/>
    <x v="0"/>
    <n v="4"/>
  </r>
  <r>
    <s v="Call_7600"/>
    <x v="13"/>
    <x v="1"/>
    <n v="95"/>
    <x v="3"/>
    <x v="91"/>
    <n v="123"/>
    <n v="4.4000000000000004"/>
    <n v="2023"/>
    <x v="6"/>
    <x v="0"/>
    <n v="4"/>
  </r>
  <r>
    <s v="Call_7601"/>
    <x v="4"/>
    <x v="0"/>
    <n v="49"/>
    <x v="0"/>
    <x v="91"/>
    <n v="172"/>
    <n v="2.9"/>
    <n v="2023"/>
    <x v="6"/>
    <x v="2"/>
    <n v="3"/>
  </r>
  <r>
    <s v="Call_7602"/>
    <x v="12"/>
    <x v="0"/>
    <n v="8"/>
    <x v="4"/>
    <x v="91"/>
    <n v="20"/>
    <n v="4.8"/>
    <n v="2023"/>
    <x v="6"/>
    <x v="4"/>
    <n v="5"/>
  </r>
  <r>
    <s v="Call_7603"/>
    <x v="13"/>
    <x v="1"/>
    <n v="157"/>
    <x v="0"/>
    <x v="91"/>
    <n v="72"/>
    <n v="3.7"/>
    <n v="2023"/>
    <x v="6"/>
    <x v="1"/>
    <n v="4"/>
  </r>
  <r>
    <s v="Call_7604"/>
    <x v="2"/>
    <x v="1"/>
    <n v="74"/>
    <x v="1"/>
    <x v="91"/>
    <n v="32"/>
    <n v="4.8"/>
    <n v="2023"/>
    <x v="6"/>
    <x v="0"/>
    <n v="5"/>
  </r>
  <r>
    <s v="Call_7605"/>
    <x v="9"/>
    <x v="1"/>
    <n v="72"/>
    <x v="3"/>
    <x v="91"/>
    <n v="140"/>
    <n v="3.2"/>
    <n v="2023"/>
    <x v="6"/>
    <x v="0"/>
    <n v="3"/>
  </r>
  <r>
    <s v="Call_7606"/>
    <x v="2"/>
    <x v="1"/>
    <n v="79"/>
    <x v="1"/>
    <x v="92"/>
    <n v="120"/>
    <n v="4.9000000000000004"/>
    <n v="2023"/>
    <x v="0"/>
    <x v="0"/>
    <n v="5"/>
  </r>
  <r>
    <s v="Call_7607"/>
    <x v="11"/>
    <x v="2"/>
    <n v="23"/>
    <x v="1"/>
    <x v="92"/>
    <n v="86"/>
    <n v="2.2000000000000002"/>
    <n v="2023"/>
    <x v="0"/>
    <x v="3"/>
    <n v="2"/>
  </r>
  <r>
    <s v="Call_7608"/>
    <x v="1"/>
    <x v="0"/>
    <n v="69"/>
    <x v="1"/>
    <x v="92"/>
    <n v="132"/>
    <n v="5"/>
    <n v="2023"/>
    <x v="0"/>
    <x v="0"/>
    <n v="5"/>
  </r>
  <r>
    <s v="Call_7609"/>
    <x v="10"/>
    <x v="1"/>
    <n v="64"/>
    <x v="1"/>
    <x v="92"/>
    <n v="80"/>
    <n v="3.3"/>
    <n v="2023"/>
    <x v="0"/>
    <x v="0"/>
    <n v="3"/>
  </r>
  <r>
    <s v="Call_7610"/>
    <x v="8"/>
    <x v="2"/>
    <n v="47"/>
    <x v="0"/>
    <x v="92"/>
    <n v="132"/>
    <n v="3.7"/>
    <n v="2023"/>
    <x v="0"/>
    <x v="2"/>
    <n v="4"/>
  </r>
  <r>
    <s v="Call_7611"/>
    <x v="2"/>
    <x v="1"/>
    <n v="55"/>
    <x v="3"/>
    <x v="92"/>
    <n v="27"/>
    <n v="3.7"/>
    <n v="2023"/>
    <x v="0"/>
    <x v="2"/>
    <n v="4"/>
  </r>
  <r>
    <s v="Call_7612"/>
    <x v="6"/>
    <x v="2"/>
    <n v="104"/>
    <x v="3"/>
    <x v="93"/>
    <n v="68"/>
    <n v="3.6"/>
    <n v="2023"/>
    <x v="1"/>
    <x v="0"/>
    <n v="4"/>
  </r>
  <r>
    <s v="Call_7613"/>
    <x v="8"/>
    <x v="2"/>
    <n v="116"/>
    <x v="1"/>
    <x v="93"/>
    <n v="22"/>
    <n v="4.7"/>
    <n v="2023"/>
    <x v="1"/>
    <x v="0"/>
    <n v="5"/>
  </r>
  <r>
    <s v="Call_7614"/>
    <x v="11"/>
    <x v="2"/>
    <n v="99"/>
    <x v="3"/>
    <x v="93"/>
    <n v="42"/>
    <n v="3.1"/>
    <n v="2023"/>
    <x v="1"/>
    <x v="0"/>
    <n v="3"/>
  </r>
  <r>
    <s v="Call_7615"/>
    <x v="6"/>
    <x v="2"/>
    <n v="84"/>
    <x v="3"/>
    <x v="94"/>
    <n v="38"/>
    <n v="3.3"/>
    <n v="2023"/>
    <x v="2"/>
    <x v="0"/>
    <n v="3"/>
  </r>
  <r>
    <s v="Call_7616"/>
    <x v="12"/>
    <x v="0"/>
    <n v="159"/>
    <x v="3"/>
    <x v="94"/>
    <n v="42"/>
    <n v="4.5"/>
    <n v="2023"/>
    <x v="2"/>
    <x v="1"/>
    <n v="5"/>
  </r>
  <r>
    <s v="Call_7617"/>
    <x v="5"/>
    <x v="2"/>
    <n v="25"/>
    <x v="0"/>
    <x v="94"/>
    <n v="75"/>
    <n v="3.9"/>
    <n v="2023"/>
    <x v="2"/>
    <x v="3"/>
    <n v="4"/>
  </r>
  <r>
    <s v="Call_7618"/>
    <x v="12"/>
    <x v="0"/>
    <n v="53"/>
    <x v="4"/>
    <x v="95"/>
    <n v="23"/>
    <n v="4.9000000000000004"/>
    <n v="2023"/>
    <x v="3"/>
    <x v="2"/>
    <n v="5"/>
  </r>
  <r>
    <s v="Call_7619"/>
    <x v="12"/>
    <x v="0"/>
    <n v="89"/>
    <x v="0"/>
    <x v="95"/>
    <n v="200"/>
    <n v="4.8"/>
    <n v="2023"/>
    <x v="3"/>
    <x v="0"/>
    <n v="5"/>
  </r>
  <r>
    <s v="Call_7620"/>
    <x v="3"/>
    <x v="1"/>
    <n v="73"/>
    <x v="1"/>
    <x v="96"/>
    <n v="45"/>
    <n v="3.6"/>
    <n v="2023"/>
    <x v="4"/>
    <x v="0"/>
    <n v="4"/>
  </r>
  <r>
    <s v="Call_7621"/>
    <x v="11"/>
    <x v="2"/>
    <n v="50"/>
    <x v="1"/>
    <x v="96"/>
    <n v="105"/>
    <n v="3.5"/>
    <n v="2023"/>
    <x v="4"/>
    <x v="2"/>
    <n v="4"/>
  </r>
  <r>
    <s v="Call_7622"/>
    <x v="4"/>
    <x v="0"/>
    <n v="98"/>
    <x v="1"/>
    <x v="96"/>
    <n v="22"/>
    <n v="3.8"/>
    <n v="2023"/>
    <x v="4"/>
    <x v="0"/>
    <n v="4"/>
  </r>
  <r>
    <s v="Call_7623"/>
    <x v="7"/>
    <x v="2"/>
    <n v="114"/>
    <x v="3"/>
    <x v="97"/>
    <n v="126"/>
    <n v="4.4000000000000004"/>
    <n v="2023"/>
    <x v="5"/>
    <x v="0"/>
    <n v="4"/>
  </r>
  <r>
    <s v="Call_7624"/>
    <x v="10"/>
    <x v="1"/>
    <n v="67"/>
    <x v="3"/>
    <x v="97"/>
    <n v="35"/>
    <n v="3"/>
    <n v="2023"/>
    <x v="5"/>
    <x v="0"/>
    <n v="3"/>
  </r>
  <r>
    <s v="Call_7625"/>
    <x v="2"/>
    <x v="1"/>
    <n v="91"/>
    <x v="1"/>
    <x v="97"/>
    <n v="84"/>
    <n v="4.5"/>
    <n v="2023"/>
    <x v="5"/>
    <x v="0"/>
    <n v="5"/>
  </r>
  <r>
    <s v="Call_7626"/>
    <x v="14"/>
    <x v="2"/>
    <n v="67"/>
    <x v="1"/>
    <x v="98"/>
    <n v="172"/>
    <n v="4.5"/>
    <n v="2023"/>
    <x v="6"/>
    <x v="0"/>
    <n v="5"/>
  </r>
  <r>
    <s v="Call_7627"/>
    <x v="7"/>
    <x v="2"/>
    <n v="139"/>
    <x v="0"/>
    <x v="98"/>
    <n v="114"/>
    <n v="4"/>
    <n v="2023"/>
    <x v="6"/>
    <x v="1"/>
    <n v="4"/>
  </r>
  <r>
    <s v="Call_7628"/>
    <x v="14"/>
    <x v="2"/>
    <n v="102"/>
    <x v="0"/>
    <x v="98"/>
    <n v="60"/>
    <n v="3.8"/>
    <n v="2023"/>
    <x v="6"/>
    <x v="0"/>
    <n v="4"/>
  </r>
  <r>
    <s v="Call_7629"/>
    <x v="13"/>
    <x v="1"/>
    <n v="108"/>
    <x v="2"/>
    <x v="98"/>
    <n v="26"/>
    <n v="3.3"/>
    <n v="2023"/>
    <x v="6"/>
    <x v="0"/>
    <n v="3"/>
  </r>
  <r>
    <s v="Call_7630"/>
    <x v="5"/>
    <x v="2"/>
    <n v="66"/>
    <x v="1"/>
    <x v="98"/>
    <n v="210"/>
    <n v="4.3"/>
    <n v="2023"/>
    <x v="6"/>
    <x v="0"/>
    <n v="4"/>
  </r>
  <r>
    <s v="Call_7631"/>
    <x v="9"/>
    <x v="1"/>
    <n v="85"/>
    <x v="0"/>
    <x v="98"/>
    <n v="129"/>
    <n v="4.2"/>
    <n v="2023"/>
    <x v="6"/>
    <x v="0"/>
    <n v="4"/>
  </r>
  <r>
    <s v="Call_7632"/>
    <x v="10"/>
    <x v="1"/>
    <n v="55"/>
    <x v="2"/>
    <x v="98"/>
    <n v="215"/>
    <n v="4.3"/>
    <n v="2023"/>
    <x v="6"/>
    <x v="2"/>
    <n v="4"/>
  </r>
  <r>
    <s v="Call_7633"/>
    <x v="13"/>
    <x v="1"/>
    <n v="17"/>
    <x v="4"/>
    <x v="98"/>
    <n v="69"/>
    <n v="4.5999999999999996"/>
    <n v="2023"/>
    <x v="6"/>
    <x v="3"/>
    <n v="5"/>
  </r>
  <r>
    <s v="Call_7634"/>
    <x v="10"/>
    <x v="1"/>
    <n v="128"/>
    <x v="4"/>
    <x v="98"/>
    <n v="140"/>
    <n v="3"/>
    <n v="2023"/>
    <x v="6"/>
    <x v="1"/>
    <n v="3"/>
  </r>
  <r>
    <s v="Call_7635"/>
    <x v="11"/>
    <x v="2"/>
    <n v="45"/>
    <x v="2"/>
    <x v="99"/>
    <n v="156"/>
    <n v="2.7"/>
    <n v="2023"/>
    <x v="0"/>
    <x v="2"/>
    <n v="3"/>
  </r>
  <r>
    <s v="Call_7636"/>
    <x v="13"/>
    <x v="1"/>
    <n v="41"/>
    <x v="4"/>
    <x v="99"/>
    <n v="164"/>
    <n v="3.1"/>
    <n v="2023"/>
    <x v="0"/>
    <x v="2"/>
    <n v="3"/>
  </r>
  <r>
    <s v="Call_7637"/>
    <x v="8"/>
    <x v="2"/>
    <n v="49"/>
    <x v="4"/>
    <x v="99"/>
    <n v="195"/>
    <n v="2.6"/>
    <n v="2023"/>
    <x v="0"/>
    <x v="2"/>
    <n v="3"/>
  </r>
  <r>
    <s v="Call_7638"/>
    <x v="1"/>
    <x v="0"/>
    <n v="21"/>
    <x v="3"/>
    <x v="99"/>
    <n v="74"/>
    <n v="4.5999999999999996"/>
    <n v="2023"/>
    <x v="0"/>
    <x v="3"/>
    <n v="5"/>
  </r>
  <r>
    <s v="Call_7639"/>
    <x v="12"/>
    <x v="0"/>
    <n v="133"/>
    <x v="2"/>
    <x v="99"/>
    <n v="100"/>
    <n v="4"/>
    <n v="2023"/>
    <x v="0"/>
    <x v="1"/>
    <n v="4"/>
  </r>
  <r>
    <s v="Call_7640"/>
    <x v="0"/>
    <x v="0"/>
    <n v="135"/>
    <x v="1"/>
    <x v="99"/>
    <n v="185"/>
    <n v="4.5"/>
    <n v="2023"/>
    <x v="0"/>
    <x v="1"/>
    <n v="5"/>
  </r>
  <r>
    <s v="Call_7641"/>
    <x v="7"/>
    <x v="2"/>
    <n v="69"/>
    <x v="2"/>
    <x v="99"/>
    <n v="130"/>
    <n v="1.9"/>
    <n v="2023"/>
    <x v="0"/>
    <x v="0"/>
    <n v="2"/>
  </r>
  <r>
    <s v="Call_7642"/>
    <x v="6"/>
    <x v="2"/>
    <n v="110"/>
    <x v="3"/>
    <x v="100"/>
    <n v="21"/>
    <n v="2.6"/>
    <n v="2023"/>
    <x v="1"/>
    <x v="0"/>
    <n v="3"/>
  </r>
  <r>
    <s v="Call_7643"/>
    <x v="14"/>
    <x v="2"/>
    <n v="64"/>
    <x v="0"/>
    <x v="100"/>
    <n v="88"/>
    <n v="4.3"/>
    <n v="2023"/>
    <x v="1"/>
    <x v="0"/>
    <n v="4"/>
  </r>
  <r>
    <s v="Call_7644"/>
    <x v="2"/>
    <x v="1"/>
    <n v="105"/>
    <x v="4"/>
    <x v="100"/>
    <n v="35"/>
    <n v="4.4000000000000004"/>
    <n v="2023"/>
    <x v="1"/>
    <x v="0"/>
    <n v="4"/>
  </r>
  <r>
    <s v="Call_7645"/>
    <x v="14"/>
    <x v="2"/>
    <n v="165"/>
    <x v="1"/>
    <x v="100"/>
    <n v="68"/>
    <n v="4.3"/>
    <n v="2023"/>
    <x v="1"/>
    <x v="1"/>
    <n v="4"/>
  </r>
  <r>
    <s v="Call_7646"/>
    <x v="11"/>
    <x v="2"/>
    <n v="125"/>
    <x v="1"/>
    <x v="100"/>
    <n v="148"/>
    <n v="4.5"/>
    <n v="2023"/>
    <x v="1"/>
    <x v="1"/>
    <n v="5"/>
  </r>
  <r>
    <s v="Call_7647"/>
    <x v="2"/>
    <x v="1"/>
    <n v="88"/>
    <x v="0"/>
    <x v="101"/>
    <n v="81"/>
    <n v="4.2"/>
    <n v="2023"/>
    <x v="2"/>
    <x v="0"/>
    <n v="4"/>
  </r>
  <r>
    <s v="Call_7648"/>
    <x v="7"/>
    <x v="2"/>
    <n v="6"/>
    <x v="0"/>
    <x v="101"/>
    <n v="75"/>
    <n v="3.9"/>
    <n v="2023"/>
    <x v="2"/>
    <x v="4"/>
    <n v="4"/>
  </r>
  <r>
    <s v="Call_7649"/>
    <x v="9"/>
    <x v="1"/>
    <n v="69"/>
    <x v="2"/>
    <x v="102"/>
    <n v="32"/>
    <n v="3.6"/>
    <n v="2023"/>
    <x v="3"/>
    <x v="0"/>
    <n v="4"/>
  </r>
  <r>
    <s v="Call_7650"/>
    <x v="13"/>
    <x v="1"/>
    <n v="107"/>
    <x v="2"/>
    <x v="102"/>
    <n v="156"/>
    <n v="3.8"/>
    <n v="2023"/>
    <x v="3"/>
    <x v="0"/>
    <n v="4"/>
  </r>
  <r>
    <s v="Call_7651"/>
    <x v="1"/>
    <x v="0"/>
    <n v="90"/>
    <x v="1"/>
    <x v="102"/>
    <n v="99"/>
    <n v="4.9000000000000004"/>
    <n v="2023"/>
    <x v="3"/>
    <x v="0"/>
    <n v="5"/>
  </r>
  <r>
    <s v="Call_7652"/>
    <x v="0"/>
    <x v="0"/>
    <n v="120"/>
    <x v="4"/>
    <x v="102"/>
    <n v="26"/>
    <n v="4"/>
    <n v="2023"/>
    <x v="3"/>
    <x v="0"/>
    <n v="4"/>
  </r>
  <r>
    <s v="Call_7653"/>
    <x v="4"/>
    <x v="0"/>
    <n v="47"/>
    <x v="2"/>
    <x v="102"/>
    <n v="84"/>
    <n v="4.0999999999999996"/>
    <n v="2023"/>
    <x v="3"/>
    <x v="2"/>
    <n v="4"/>
  </r>
  <r>
    <s v="Call_7654"/>
    <x v="3"/>
    <x v="1"/>
    <n v="60"/>
    <x v="4"/>
    <x v="102"/>
    <n v="84"/>
    <n v="4.8"/>
    <n v="2023"/>
    <x v="3"/>
    <x v="2"/>
    <n v="5"/>
  </r>
  <r>
    <s v="Call_7655"/>
    <x v="10"/>
    <x v="1"/>
    <n v="64"/>
    <x v="1"/>
    <x v="102"/>
    <n v="170"/>
    <n v="2.2999999999999998"/>
    <n v="2023"/>
    <x v="3"/>
    <x v="0"/>
    <n v="2"/>
  </r>
  <r>
    <s v="Call_7656"/>
    <x v="14"/>
    <x v="2"/>
    <n v="62"/>
    <x v="2"/>
    <x v="102"/>
    <n v="35"/>
    <n v="4.4000000000000004"/>
    <n v="2023"/>
    <x v="3"/>
    <x v="0"/>
    <n v="4"/>
  </r>
  <r>
    <s v="Call_7657"/>
    <x v="6"/>
    <x v="2"/>
    <n v="88"/>
    <x v="2"/>
    <x v="103"/>
    <n v="35"/>
    <n v="3.8"/>
    <n v="2023"/>
    <x v="4"/>
    <x v="0"/>
    <n v="4"/>
  </r>
  <r>
    <s v="Call_7658"/>
    <x v="11"/>
    <x v="2"/>
    <n v="116"/>
    <x v="2"/>
    <x v="103"/>
    <n v="132"/>
    <n v="5"/>
    <n v="2023"/>
    <x v="4"/>
    <x v="0"/>
    <n v="5"/>
  </r>
  <r>
    <s v="Call_7659"/>
    <x v="1"/>
    <x v="0"/>
    <n v="82"/>
    <x v="0"/>
    <x v="104"/>
    <n v="144"/>
    <n v="3.3"/>
    <n v="2023"/>
    <x v="5"/>
    <x v="0"/>
    <n v="3"/>
  </r>
  <r>
    <s v="Call_7660"/>
    <x v="14"/>
    <x v="2"/>
    <n v="99"/>
    <x v="1"/>
    <x v="104"/>
    <n v="48"/>
    <n v="5"/>
    <n v="2023"/>
    <x v="5"/>
    <x v="0"/>
    <n v="5"/>
  </r>
  <r>
    <s v="Call_7661"/>
    <x v="14"/>
    <x v="2"/>
    <n v="55"/>
    <x v="0"/>
    <x v="104"/>
    <n v="200"/>
    <n v="2.2999999999999998"/>
    <n v="2023"/>
    <x v="5"/>
    <x v="2"/>
    <n v="2"/>
  </r>
  <r>
    <s v="Call_7662"/>
    <x v="10"/>
    <x v="1"/>
    <n v="61"/>
    <x v="4"/>
    <x v="104"/>
    <n v="38"/>
    <n v="4.8"/>
    <n v="2023"/>
    <x v="5"/>
    <x v="0"/>
    <n v="5"/>
  </r>
  <r>
    <s v="Call_7663"/>
    <x v="11"/>
    <x v="2"/>
    <n v="36"/>
    <x v="3"/>
    <x v="104"/>
    <n v="81"/>
    <n v="3.7"/>
    <n v="2023"/>
    <x v="5"/>
    <x v="2"/>
    <n v="4"/>
  </r>
  <r>
    <s v="Call_7664"/>
    <x v="1"/>
    <x v="0"/>
    <n v="123"/>
    <x v="2"/>
    <x v="104"/>
    <n v="120"/>
    <n v="4.2"/>
    <n v="2023"/>
    <x v="5"/>
    <x v="1"/>
    <n v="4"/>
  </r>
  <r>
    <s v="Call_7665"/>
    <x v="8"/>
    <x v="2"/>
    <n v="24"/>
    <x v="4"/>
    <x v="104"/>
    <n v="74"/>
    <n v="4.8"/>
    <n v="2023"/>
    <x v="5"/>
    <x v="3"/>
    <n v="5"/>
  </r>
  <r>
    <s v="Call_7666"/>
    <x v="1"/>
    <x v="0"/>
    <n v="43"/>
    <x v="2"/>
    <x v="105"/>
    <n v="128"/>
    <n v="4.7"/>
    <n v="2023"/>
    <x v="6"/>
    <x v="2"/>
    <n v="5"/>
  </r>
  <r>
    <s v="Call_7667"/>
    <x v="3"/>
    <x v="1"/>
    <n v="95"/>
    <x v="1"/>
    <x v="105"/>
    <n v="21"/>
    <n v="3.9"/>
    <n v="2023"/>
    <x v="6"/>
    <x v="0"/>
    <n v="4"/>
  </r>
  <r>
    <s v="Call_7668"/>
    <x v="14"/>
    <x v="2"/>
    <n v="53"/>
    <x v="2"/>
    <x v="105"/>
    <n v="110"/>
    <n v="4.3"/>
    <n v="2023"/>
    <x v="6"/>
    <x v="2"/>
    <n v="4"/>
  </r>
  <r>
    <s v="Call_7669"/>
    <x v="1"/>
    <x v="0"/>
    <n v="113"/>
    <x v="2"/>
    <x v="105"/>
    <n v="145"/>
    <n v="4"/>
    <n v="2023"/>
    <x v="6"/>
    <x v="0"/>
    <n v="4"/>
  </r>
  <r>
    <s v="Call_7670"/>
    <x v="14"/>
    <x v="2"/>
    <n v="89"/>
    <x v="3"/>
    <x v="105"/>
    <n v="129"/>
    <n v="4"/>
    <n v="2023"/>
    <x v="6"/>
    <x v="0"/>
    <n v="4"/>
  </r>
  <r>
    <s v="Call_7671"/>
    <x v="6"/>
    <x v="2"/>
    <n v="84"/>
    <x v="0"/>
    <x v="105"/>
    <n v="156"/>
    <n v="3.2"/>
    <n v="2023"/>
    <x v="6"/>
    <x v="0"/>
    <n v="3"/>
  </r>
  <r>
    <s v="Call_7672"/>
    <x v="8"/>
    <x v="2"/>
    <n v="130"/>
    <x v="2"/>
    <x v="106"/>
    <n v="120"/>
    <n v="3.8"/>
    <n v="2023"/>
    <x v="0"/>
    <x v="1"/>
    <n v="4"/>
  </r>
  <r>
    <s v="Call_7673"/>
    <x v="3"/>
    <x v="1"/>
    <n v="163"/>
    <x v="3"/>
    <x v="106"/>
    <n v="62"/>
    <n v="3.4"/>
    <n v="2023"/>
    <x v="0"/>
    <x v="1"/>
    <n v="3"/>
  </r>
  <r>
    <s v="Call_7674"/>
    <x v="9"/>
    <x v="1"/>
    <n v="127"/>
    <x v="2"/>
    <x v="106"/>
    <n v="160"/>
    <n v="3.2"/>
    <n v="2023"/>
    <x v="0"/>
    <x v="1"/>
    <n v="3"/>
  </r>
  <r>
    <s v="Call_7675"/>
    <x v="1"/>
    <x v="0"/>
    <n v="50"/>
    <x v="2"/>
    <x v="106"/>
    <n v="56"/>
    <n v="4.7"/>
    <n v="2023"/>
    <x v="0"/>
    <x v="2"/>
    <n v="5"/>
  </r>
  <r>
    <s v="Call_7676"/>
    <x v="5"/>
    <x v="2"/>
    <n v="88"/>
    <x v="4"/>
    <x v="106"/>
    <n v="72"/>
    <n v="4"/>
    <n v="2023"/>
    <x v="0"/>
    <x v="0"/>
    <n v="4"/>
  </r>
  <r>
    <s v="Call_7677"/>
    <x v="1"/>
    <x v="0"/>
    <n v="139"/>
    <x v="1"/>
    <x v="107"/>
    <n v="81"/>
    <n v="4.8"/>
    <n v="2023"/>
    <x v="1"/>
    <x v="1"/>
    <n v="5"/>
  </r>
  <r>
    <s v="Call_7678"/>
    <x v="3"/>
    <x v="1"/>
    <n v="111"/>
    <x v="2"/>
    <x v="107"/>
    <n v="144"/>
    <n v="3.9"/>
    <n v="2023"/>
    <x v="1"/>
    <x v="0"/>
    <n v="4"/>
  </r>
  <r>
    <s v="Call_7679"/>
    <x v="2"/>
    <x v="1"/>
    <n v="115"/>
    <x v="1"/>
    <x v="107"/>
    <n v="111"/>
    <n v="4.3"/>
    <n v="2023"/>
    <x v="1"/>
    <x v="0"/>
    <n v="4"/>
  </r>
  <r>
    <s v="Call_7680"/>
    <x v="14"/>
    <x v="2"/>
    <n v="26"/>
    <x v="3"/>
    <x v="107"/>
    <n v="43"/>
    <n v="4.2"/>
    <n v="2023"/>
    <x v="1"/>
    <x v="3"/>
    <n v="4"/>
  </r>
  <r>
    <s v="Call_7681"/>
    <x v="6"/>
    <x v="2"/>
    <n v="131"/>
    <x v="4"/>
    <x v="107"/>
    <n v="41"/>
    <n v="4.9000000000000004"/>
    <n v="2023"/>
    <x v="1"/>
    <x v="1"/>
    <n v="5"/>
  </r>
  <r>
    <s v="Call_7682"/>
    <x v="2"/>
    <x v="1"/>
    <n v="27"/>
    <x v="4"/>
    <x v="107"/>
    <n v="74"/>
    <n v="4"/>
    <n v="2023"/>
    <x v="1"/>
    <x v="3"/>
    <n v="4"/>
  </r>
  <r>
    <s v="Call_7683"/>
    <x v="12"/>
    <x v="0"/>
    <n v="75"/>
    <x v="2"/>
    <x v="107"/>
    <n v="43"/>
    <n v="4.9000000000000004"/>
    <n v="2023"/>
    <x v="1"/>
    <x v="0"/>
    <n v="5"/>
  </r>
  <r>
    <s v="Call_7684"/>
    <x v="10"/>
    <x v="1"/>
    <n v="123"/>
    <x v="4"/>
    <x v="107"/>
    <n v="128"/>
    <n v="3.6"/>
    <n v="2023"/>
    <x v="1"/>
    <x v="1"/>
    <n v="4"/>
  </r>
  <r>
    <s v="Call_7685"/>
    <x v="0"/>
    <x v="0"/>
    <n v="129"/>
    <x v="4"/>
    <x v="108"/>
    <n v="144"/>
    <n v="4.0999999999999996"/>
    <n v="2023"/>
    <x v="2"/>
    <x v="1"/>
    <n v="4"/>
  </r>
  <r>
    <s v="Call_7686"/>
    <x v="12"/>
    <x v="0"/>
    <n v="124"/>
    <x v="1"/>
    <x v="108"/>
    <n v="132"/>
    <n v="4.9000000000000004"/>
    <n v="2023"/>
    <x v="2"/>
    <x v="1"/>
    <n v="5"/>
  </r>
  <r>
    <s v="Call_7687"/>
    <x v="2"/>
    <x v="1"/>
    <n v="108"/>
    <x v="1"/>
    <x v="108"/>
    <n v="180"/>
    <n v="3.9"/>
    <n v="2023"/>
    <x v="2"/>
    <x v="0"/>
    <n v="4"/>
  </r>
  <r>
    <s v="Call_7688"/>
    <x v="4"/>
    <x v="0"/>
    <n v="15"/>
    <x v="1"/>
    <x v="108"/>
    <n v="31"/>
    <n v="4.0999999999999996"/>
    <n v="2023"/>
    <x v="2"/>
    <x v="3"/>
    <n v="4"/>
  </r>
  <r>
    <s v="Call_7689"/>
    <x v="2"/>
    <x v="1"/>
    <n v="66"/>
    <x v="1"/>
    <x v="108"/>
    <n v="102"/>
    <n v="3.8"/>
    <n v="2023"/>
    <x v="2"/>
    <x v="0"/>
    <n v="4"/>
  </r>
  <r>
    <s v="Call_7690"/>
    <x v="5"/>
    <x v="2"/>
    <n v="126"/>
    <x v="2"/>
    <x v="109"/>
    <n v="175"/>
    <n v="4.8"/>
    <n v="2023"/>
    <x v="3"/>
    <x v="1"/>
    <n v="5"/>
  </r>
  <r>
    <s v="Call_7691"/>
    <x v="12"/>
    <x v="0"/>
    <n v="26"/>
    <x v="0"/>
    <x v="109"/>
    <n v="87"/>
    <n v="4.7"/>
    <n v="2023"/>
    <x v="3"/>
    <x v="3"/>
    <n v="5"/>
  </r>
  <r>
    <s v="Call_7692"/>
    <x v="8"/>
    <x v="2"/>
    <n v="105"/>
    <x v="2"/>
    <x v="109"/>
    <n v="66"/>
    <n v="4.2"/>
    <n v="2023"/>
    <x v="3"/>
    <x v="0"/>
    <n v="4"/>
  </r>
  <r>
    <s v="Call_7693"/>
    <x v="8"/>
    <x v="2"/>
    <n v="31"/>
    <x v="2"/>
    <x v="109"/>
    <n v="25"/>
    <n v="3.2"/>
    <n v="2023"/>
    <x v="3"/>
    <x v="2"/>
    <n v="3"/>
  </r>
  <r>
    <s v="Call_7694"/>
    <x v="2"/>
    <x v="1"/>
    <n v="109"/>
    <x v="1"/>
    <x v="109"/>
    <n v="126"/>
    <n v="3.4"/>
    <n v="2023"/>
    <x v="3"/>
    <x v="0"/>
    <n v="3"/>
  </r>
  <r>
    <s v="Call_7695"/>
    <x v="0"/>
    <x v="0"/>
    <n v="113"/>
    <x v="3"/>
    <x v="110"/>
    <n v="42"/>
    <n v="4.5999999999999996"/>
    <n v="2023"/>
    <x v="4"/>
    <x v="0"/>
    <n v="5"/>
  </r>
  <r>
    <s v="Call_7696"/>
    <x v="5"/>
    <x v="2"/>
    <n v="101"/>
    <x v="0"/>
    <x v="110"/>
    <n v="225"/>
    <n v="1.9"/>
    <n v="2023"/>
    <x v="4"/>
    <x v="0"/>
    <n v="2"/>
  </r>
  <r>
    <s v="Call_7697"/>
    <x v="3"/>
    <x v="1"/>
    <n v="156"/>
    <x v="0"/>
    <x v="110"/>
    <n v="42"/>
    <n v="3.3"/>
    <n v="2023"/>
    <x v="4"/>
    <x v="1"/>
    <n v="3"/>
  </r>
  <r>
    <s v="Call_7698"/>
    <x v="2"/>
    <x v="1"/>
    <n v="145"/>
    <x v="3"/>
    <x v="111"/>
    <n v="110"/>
    <n v="3.1"/>
    <n v="2023"/>
    <x v="5"/>
    <x v="1"/>
    <n v="3"/>
  </r>
  <r>
    <s v="Call_7699"/>
    <x v="10"/>
    <x v="1"/>
    <n v="36"/>
    <x v="1"/>
    <x v="111"/>
    <n v="225"/>
    <n v="4.8"/>
    <n v="2023"/>
    <x v="5"/>
    <x v="2"/>
    <n v="5"/>
  </r>
  <r>
    <s v="Call_7700"/>
    <x v="8"/>
    <x v="2"/>
    <n v="135"/>
    <x v="4"/>
    <x v="112"/>
    <n v="125"/>
    <n v="3.3"/>
    <n v="2023"/>
    <x v="6"/>
    <x v="1"/>
    <n v="3"/>
  </r>
  <r>
    <s v="Call_7701"/>
    <x v="5"/>
    <x v="2"/>
    <n v="81"/>
    <x v="1"/>
    <x v="112"/>
    <n v="78"/>
    <n v="2.9"/>
    <n v="2023"/>
    <x v="6"/>
    <x v="0"/>
    <n v="3"/>
  </r>
  <r>
    <s v="Call_7702"/>
    <x v="5"/>
    <x v="2"/>
    <n v="81"/>
    <x v="3"/>
    <x v="112"/>
    <n v="40"/>
    <n v="2.4"/>
    <n v="2023"/>
    <x v="6"/>
    <x v="0"/>
    <n v="2"/>
  </r>
  <r>
    <s v="Call_7703"/>
    <x v="9"/>
    <x v="1"/>
    <n v="93"/>
    <x v="2"/>
    <x v="112"/>
    <n v="150"/>
    <n v="4.5999999999999996"/>
    <n v="2023"/>
    <x v="6"/>
    <x v="0"/>
    <n v="5"/>
  </r>
  <r>
    <s v="Call_7704"/>
    <x v="2"/>
    <x v="1"/>
    <n v="14"/>
    <x v="1"/>
    <x v="112"/>
    <n v="96"/>
    <n v="4.8"/>
    <n v="2023"/>
    <x v="6"/>
    <x v="3"/>
    <n v="5"/>
  </r>
  <r>
    <s v="Call_7705"/>
    <x v="8"/>
    <x v="2"/>
    <n v="95"/>
    <x v="3"/>
    <x v="113"/>
    <n v="75"/>
    <n v="4.8"/>
    <n v="2023"/>
    <x v="0"/>
    <x v="0"/>
    <n v="5"/>
  </r>
  <r>
    <s v="Call_7706"/>
    <x v="9"/>
    <x v="1"/>
    <n v="81"/>
    <x v="3"/>
    <x v="113"/>
    <n v="60"/>
    <n v="3.6"/>
    <n v="2023"/>
    <x v="0"/>
    <x v="0"/>
    <n v="4"/>
  </r>
  <r>
    <s v="Call_7707"/>
    <x v="14"/>
    <x v="2"/>
    <n v="60"/>
    <x v="1"/>
    <x v="114"/>
    <n v="41"/>
    <n v="4.8"/>
    <n v="2023"/>
    <x v="1"/>
    <x v="2"/>
    <n v="5"/>
  </r>
  <r>
    <s v="Call_7708"/>
    <x v="7"/>
    <x v="2"/>
    <n v="137"/>
    <x v="2"/>
    <x v="114"/>
    <n v="20"/>
    <n v="4.2"/>
    <n v="2023"/>
    <x v="1"/>
    <x v="1"/>
    <n v="4"/>
  </r>
  <r>
    <s v="Call_7709"/>
    <x v="1"/>
    <x v="0"/>
    <n v="112"/>
    <x v="4"/>
    <x v="114"/>
    <n v="84"/>
    <n v="2.6"/>
    <n v="2023"/>
    <x v="1"/>
    <x v="0"/>
    <n v="3"/>
  </r>
  <r>
    <s v="Call_7710"/>
    <x v="8"/>
    <x v="2"/>
    <n v="76"/>
    <x v="0"/>
    <x v="114"/>
    <n v="140"/>
    <n v="3.7"/>
    <n v="2023"/>
    <x v="1"/>
    <x v="0"/>
    <n v="4"/>
  </r>
  <r>
    <s v="Call_7711"/>
    <x v="11"/>
    <x v="2"/>
    <n v="73"/>
    <x v="1"/>
    <x v="114"/>
    <n v="66"/>
    <n v="4.8"/>
    <n v="2023"/>
    <x v="1"/>
    <x v="0"/>
    <n v="5"/>
  </r>
  <r>
    <s v="Call_7712"/>
    <x v="6"/>
    <x v="2"/>
    <n v="119"/>
    <x v="2"/>
    <x v="114"/>
    <n v="105"/>
    <n v="4.7"/>
    <n v="2023"/>
    <x v="1"/>
    <x v="0"/>
    <n v="5"/>
  </r>
  <r>
    <s v="Call_7713"/>
    <x v="0"/>
    <x v="0"/>
    <n v="135"/>
    <x v="3"/>
    <x v="115"/>
    <n v="104"/>
    <n v="4.0999999999999996"/>
    <n v="2023"/>
    <x v="2"/>
    <x v="1"/>
    <n v="4"/>
  </r>
  <r>
    <s v="Call_7714"/>
    <x v="7"/>
    <x v="2"/>
    <n v="41"/>
    <x v="4"/>
    <x v="115"/>
    <n v="123"/>
    <n v="3.2"/>
    <n v="2023"/>
    <x v="2"/>
    <x v="2"/>
    <n v="3"/>
  </r>
  <r>
    <s v="Call_7715"/>
    <x v="2"/>
    <x v="1"/>
    <n v="35"/>
    <x v="3"/>
    <x v="116"/>
    <n v="215"/>
    <n v="4.3"/>
    <n v="2023"/>
    <x v="3"/>
    <x v="2"/>
    <n v="4"/>
  </r>
  <r>
    <s v="Call_7716"/>
    <x v="0"/>
    <x v="0"/>
    <n v="96"/>
    <x v="1"/>
    <x v="116"/>
    <n v="46"/>
    <n v="0.7"/>
    <n v="2023"/>
    <x v="3"/>
    <x v="0"/>
    <n v="1"/>
  </r>
  <r>
    <s v="Call_7717"/>
    <x v="9"/>
    <x v="1"/>
    <n v="61"/>
    <x v="4"/>
    <x v="116"/>
    <n v="115"/>
    <n v="3.7"/>
    <n v="2023"/>
    <x v="3"/>
    <x v="0"/>
    <n v="4"/>
  </r>
  <r>
    <s v="Call_7718"/>
    <x v="0"/>
    <x v="0"/>
    <n v="91"/>
    <x v="4"/>
    <x v="116"/>
    <n v="124"/>
    <n v="3.9"/>
    <n v="2023"/>
    <x v="3"/>
    <x v="0"/>
    <n v="4"/>
  </r>
  <r>
    <s v="Call_7719"/>
    <x v="13"/>
    <x v="1"/>
    <n v="30"/>
    <x v="4"/>
    <x v="117"/>
    <n v="205"/>
    <n v="4.5"/>
    <n v="2023"/>
    <x v="4"/>
    <x v="3"/>
    <n v="5"/>
  </r>
  <r>
    <s v="Call_7720"/>
    <x v="14"/>
    <x v="2"/>
    <n v="111"/>
    <x v="2"/>
    <x v="117"/>
    <n v="90"/>
    <n v="2.8"/>
    <n v="2023"/>
    <x v="4"/>
    <x v="0"/>
    <n v="3"/>
  </r>
  <r>
    <s v="Call_7721"/>
    <x v="9"/>
    <x v="1"/>
    <n v="81"/>
    <x v="1"/>
    <x v="117"/>
    <n v="92"/>
    <n v="4.9000000000000004"/>
    <n v="2023"/>
    <x v="4"/>
    <x v="0"/>
    <n v="5"/>
  </r>
  <r>
    <s v="Call_7722"/>
    <x v="8"/>
    <x v="2"/>
    <n v="40"/>
    <x v="3"/>
    <x v="118"/>
    <n v="108"/>
    <n v="4.2"/>
    <n v="2023"/>
    <x v="6"/>
    <x v="2"/>
    <n v="4"/>
  </r>
  <r>
    <s v="Call_7723"/>
    <x v="14"/>
    <x v="2"/>
    <n v="143"/>
    <x v="3"/>
    <x v="118"/>
    <n v="54"/>
    <n v="4.4000000000000004"/>
    <n v="2023"/>
    <x v="6"/>
    <x v="1"/>
    <n v="4"/>
  </r>
  <r>
    <s v="Call_7724"/>
    <x v="8"/>
    <x v="2"/>
    <n v="70"/>
    <x v="3"/>
    <x v="119"/>
    <n v="44"/>
    <n v="3.5"/>
    <n v="2023"/>
    <x v="0"/>
    <x v="0"/>
    <n v="4"/>
  </r>
  <r>
    <s v="Call_7725"/>
    <x v="11"/>
    <x v="2"/>
    <n v="137"/>
    <x v="3"/>
    <x v="119"/>
    <n v="44"/>
    <n v="4.7"/>
    <n v="2023"/>
    <x v="0"/>
    <x v="1"/>
    <n v="5"/>
  </r>
  <r>
    <s v="Call_7726"/>
    <x v="0"/>
    <x v="0"/>
    <n v="52"/>
    <x v="1"/>
    <x v="120"/>
    <n v="37"/>
    <n v="4.9000000000000004"/>
    <n v="2023"/>
    <x v="1"/>
    <x v="2"/>
    <n v="5"/>
  </r>
  <r>
    <s v="Call_7727"/>
    <x v="1"/>
    <x v="0"/>
    <n v="31"/>
    <x v="2"/>
    <x v="120"/>
    <n v="180"/>
    <n v="4.5"/>
    <n v="2023"/>
    <x v="1"/>
    <x v="2"/>
    <n v="5"/>
  </r>
  <r>
    <s v="Call_7728"/>
    <x v="0"/>
    <x v="0"/>
    <n v="114"/>
    <x v="4"/>
    <x v="120"/>
    <n v="105"/>
    <n v="4.9000000000000004"/>
    <n v="2023"/>
    <x v="1"/>
    <x v="0"/>
    <n v="5"/>
  </r>
  <r>
    <s v="Call_7729"/>
    <x v="11"/>
    <x v="2"/>
    <n v="73"/>
    <x v="0"/>
    <x v="120"/>
    <n v="87"/>
    <n v="3.6"/>
    <n v="2023"/>
    <x v="1"/>
    <x v="0"/>
    <n v="4"/>
  </r>
  <r>
    <s v="Call_7730"/>
    <x v="9"/>
    <x v="1"/>
    <n v="25"/>
    <x v="2"/>
    <x v="120"/>
    <n v="52"/>
    <n v="3.8"/>
    <n v="2023"/>
    <x v="1"/>
    <x v="3"/>
    <n v="4"/>
  </r>
  <r>
    <s v="Call_7731"/>
    <x v="4"/>
    <x v="0"/>
    <n v="44"/>
    <x v="4"/>
    <x v="120"/>
    <n v="63"/>
    <n v="3.5"/>
    <n v="2023"/>
    <x v="1"/>
    <x v="2"/>
    <n v="4"/>
  </r>
  <r>
    <s v="Call_7732"/>
    <x v="10"/>
    <x v="1"/>
    <n v="34"/>
    <x v="1"/>
    <x v="121"/>
    <n v="195"/>
    <n v="4.8"/>
    <n v="2023"/>
    <x v="2"/>
    <x v="2"/>
    <n v="5"/>
  </r>
  <r>
    <s v="Call_7733"/>
    <x v="14"/>
    <x v="2"/>
    <n v="89"/>
    <x v="3"/>
    <x v="122"/>
    <n v="176"/>
    <n v="4.5"/>
    <n v="2023"/>
    <x v="3"/>
    <x v="0"/>
    <n v="5"/>
  </r>
  <r>
    <s v="Call_7734"/>
    <x v="6"/>
    <x v="2"/>
    <n v="54"/>
    <x v="2"/>
    <x v="123"/>
    <n v="31"/>
    <n v="3.3"/>
    <n v="2023"/>
    <x v="4"/>
    <x v="2"/>
    <n v="3"/>
  </r>
  <r>
    <s v="Call_7735"/>
    <x v="2"/>
    <x v="1"/>
    <n v="25"/>
    <x v="2"/>
    <x v="124"/>
    <n v="27"/>
    <n v="3.2"/>
    <n v="2023"/>
    <x v="5"/>
    <x v="3"/>
    <n v="3"/>
  </r>
  <r>
    <s v="Call_7736"/>
    <x v="7"/>
    <x v="2"/>
    <n v="91"/>
    <x v="3"/>
    <x v="124"/>
    <n v="76"/>
    <n v="4.9000000000000004"/>
    <n v="2023"/>
    <x v="5"/>
    <x v="0"/>
    <n v="5"/>
  </r>
  <r>
    <s v="Call_7737"/>
    <x v="4"/>
    <x v="0"/>
    <n v="144"/>
    <x v="4"/>
    <x v="124"/>
    <n v="62"/>
    <n v="4.8"/>
    <n v="2023"/>
    <x v="5"/>
    <x v="1"/>
    <n v="5"/>
  </r>
  <r>
    <s v="Call_7738"/>
    <x v="7"/>
    <x v="2"/>
    <n v="81"/>
    <x v="1"/>
    <x v="125"/>
    <n v="100"/>
    <n v="1.3"/>
    <n v="2023"/>
    <x v="0"/>
    <x v="0"/>
    <n v="1"/>
  </r>
  <r>
    <s v="Call_7739"/>
    <x v="13"/>
    <x v="1"/>
    <n v="92"/>
    <x v="2"/>
    <x v="125"/>
    <n v="44"/>
    <n v="3.1"/>
    <n v="2023"/>
    <x v="0"/>
    <x v="0"/>
    <n v="3"/>
  </r>
  <r>
    <s v="Call_7740"/>
    <x v="2"/>
    <x v="1"/>
    <n v="115"/>
    <x v="3"/>
    <x v="125"/>
    <n v="168"/>
    <n v="3.4"/>
    <n v="2023"/>
    <x v="0"/>
    <x v="0"/>
    <n v="3"/>
  </r>
  <r>
    <s v="Call_7741"/>
    <x v="5"/>
    <x v="2"/>
    <n v="56"/>
    <x v="3"/>
    <x v="126"/>
    <n v="200"/>
    <n v="4.5999999999999996"/>
    <n v="2023"/>
    <x v="1"/>
    <x v="2"/>
    <n v="5"/>
  </r>
  <r>
    <s v="Call_7742"/>
    <x v="1"/>
    <x v="0"/>
    <n v="154"/>
    <x v="2"/>
    <x v="126"/>
    <n v="84"/>
    <n v="4.3"/>
    <n v="2023"/>
    <x v="1"/>
    <x v="1"/>
    <n v="4"/>
  </r>
  <r>
    <s v="Call_7743"/>
    <x v="14"/>
    <x v="2"/>
    <n v="51"/>
    <x v="3"/>
    <x v="127"/>
    <n v="117"/>
    <n v="2.7"/>
    <n v="2023"/>
    <x v="2"/>
    <x v="2"/>
    <n v="3"/>
  </r>
  <r>
    <s v="Call_7744"/>
    <x v="10"/>
    <x v="1"/>
    <n v="21"/>
    <x v="1"/>
    <x v="127"/>
    <n v="63"/>
    <n v="4.2"/>
    <n v="2023"/>
    <x v="2"/>
    <x v="3"/>
    <n v="4"/>
  </r>
  <r>
    <s v="Call_7745"/>
    <x v="2"/>
    <x v="1"/>
    <n v="80"/>
    <x v="3"/>
    <x v="128"/>
    <n v="145"/>
    <n v="4.9000000000000004"/>
    <n v="2023"/>
    <x v="3"/>
    <x v="0"/>
    <n v="5"/>
  </r>
  <r>
    <s v="Call_7746"/>
    <x v="14"/>
    <x v="2"/>
    <n v="139"/>
    <x v="2"/>
    <x v="128"/>
    <n v="220"/>
    <n v="3.2"/>
    <n v="2023"/>
    <x v="3"/>
    <x v="1"/>
    <n v="3"/>
  </r>
  <r>
    <s v="Call_7747"/>
    <x v="8"/>
    <x v="2"/>
    <n v="50"/>
    <x v="1"/>
    <x v="128"/>
    <n v="26"/>
    <n v="4.7"/>
    <n v="2023"/>
    <x v="3"/>
    <x v="2"/>
    <n v="5"/>
  </r>
  <r>
    <s v="Call_7748"/>
    <x v="2"/>
    <x v="1"/>
    <n v="88"/>
    <x v="3"/>
    <x v="128"/>
    <n v="78"/>
    <n v="4.3"/>
    <n v="2023"/>
    <x v="3"/>
    <x v="0"/>
    <n v="4"/>
  </r>
  <r>
    <s v="Call_7749"/>
    <x v="6"/>
    <x v="2"/>
    <n v="19"/>
    <x v="4"/>
    <x v="129"/>
    <n v="132"/>
    <n v="4.3"/>
    <n v="2023"/>
    <x v="4"/>
    <x v="3"/>
    <n v="4"/>
  </r>
  <r>
    <s v="Call_7750"/>
    <x v="9"/>
    <x v="1"/>
    <n v="104"/>
    <x v="4"/>
    <x v="130"/>
    <n v="68"/>
    <n v="3.7"/>
    <n v="2023"/>
    <x v="5"/>
    <x v="0"/>
    <n v="4"/>
  </r>
  <r>
    <s v="Call_7751"/>
    <x v="1"/>
    <x v="0"/>
    <n v="67"/>
    <x v="2"/>
    <x v="131"/>
    <n v="129"/>
    <n v="4.7"/>
    <n v="2023"/>
    <x v="0"/>
    <x v="0"/>
    <n v="5"/>
  </r>
  <r>
    <s v="Call_7752"/>
    <x v="12"/>
    <x v="0"/>
    <n v="107"/>
    <x v="4"/>
    <x v="131"/>
    <n v="115"/>
    <n v="4.9000000000000004"/>
    <n v="2023"/>
    <x v="0"/>
    <x v="0"/>
    <n v="5"/>
  </r>
  <r>
    <s v="Call_7753"/>
    <x v="12"/>
    <x v="0"/>
    <n v="93"/>
    <x v="4"/>
    <x v="131"/>
    <n v="128"/>
    <n v="3.9"/>
    <n v="2023"/>
    <x v="0"/>
    <x v="0"/>
    <n v="4"/>
  </r>
  <r>
    <s v="Call_7754"/>
    <x v="12"/>
    <x v="0"/>
    <n v="117"/>
    <x v="2"/>
    <x v="131"/>
    <n v="90"/>
    <n v="4.5"/>
    <n v="2023"/>
    <x v="0"/>
    <x v="0"/>
    <n v="5"/>
  </r>
  <r>
    <s v="Call_7755"/>
    <x v="8"/>
    <x v="2"/>
    <n v="76"/>
    <x v="3"/>
    <x v="132"/>
    <n v="39"/>
    <n v="4.5999999999999996"/>
    <n v="2023"/>
    <x v="1"/>
    <x v="0"/>
    <n v="5"/>
  </r>
  <r>
    <s v="Call_7756"/>
    <x v="6"/>
    <x v="2"/>
    <n v="64"/>
    <x v="4"/>
    <x v="132"/>
    <n v="132"/>
    <n v="3.3"/>
    <n v="2023"/>
    <x v="1"/>
    <x v="0"/>
    <n v="3"/>
  </r>
  <r>
    <s v="Call_7757"/>
    <x v="4"/>
    <x v="0"/>
    <n v="33"/>
    <x v="4"/>
    <x v="132"/>
    <n v="170"/>
    <n v="3.8"/>
    <n v="2023"/>
    <x v="1"/>
    <x v="2"/>
    <n v="4"/>
  </r>
  <r>
    <s v="Call_7758"/>
    <x v="12"/>
    <x v="0"/>
    <n v="115"/>
    <x v="2"/>
    <x v="132"/>
    <n v="42"/>
    <n v="4.7"/>
    <n v="2023"/>
    <x v="1"/>
    <x v="0"/>
    <n v="5"/>
  </r>
  <r>
    <s v="Call_7759"/>
    <x v="3"/>
    <x v="1"/>
    <n v="155"/>
    <x v="3"/>
    <x v="133"/>
    <n v="37"/>
    <n v="4"/>
    <n v="2023"/>
    <x v="2"/>
    <x v="1"/>
    <n v="4"/>
  </r>
  <r>
    <s v="Call_7760"/>
    <x v="1"/>
    <x v="0"/>
    <n v="117"/>
    <x v="3"/>
    <x v="133"/>
    <n v="88"/>
    <n v="4.7"/>
    <n v="2023"/>
    <x v="2"/>
    <x v="0"/>
    <n v="5"/>
  </r>
  <r>
    <s v="Call_7761"/>
    <x v="14"/>
    <x v="2"/>
    <n v="63"/>
    <x v="3"/>
    <x v="133"/>
    <n v="80"/>
    <n v="2.5"/>
    <n v="2023"/>
    <x v="2"/>
    <x v="0"/>
    <n v="3"/>
  </r>
  <r>
    <s v="Call_7762"/>
    <x v="6"/>
    <x v="2"/>
    <n v="59"/>
    <x v="0"/>
    <x v="134"/>
    <n v="123"/>
    <n v="3.6"/>
    <n v="2023"/>
    <x v="3"/>
    <x v="2"/>
    <n v="4"/>
  </r>
  <r>
    <s v="Call_7763"/>
    <x v="10"/>
    <x v="1"/>
    <n v="133"/>
    <x v="4"/>
    <x v="134"/>
    <n v="31"/>
    <n v="3.7"/>
    <n v="2023"/>
    <x v="3"/>
    <x v="1"/>
    <n v="4"/>
  </r>
  <r>
    <s v="Call_7764"/>
    <x v="13"/>
    <x v="1"/>
    <n v="101"/>
    <x v="1"/>
    <x v="134"/>
    <n v="205"/>
    <n v="3.9"/>
    <n v="2023"/>
    <x v="3"/>
    <x v="0"/>
    <n v="4"/>
  </r>
  <r>
    <s v="Call_7765"/>
    <x v="7"/>
    <x v="2"/>
    <n v="151"/>
    <x v="3"/>
    <x v="135"/>
    <n v="123"/>
    <n v="3.7"/>
    <n v="2023"/>
    <x v="4"/>
    <x v="1"/>
    <n v="4"/>
  </r>
  <r>
    <s v="Call_7766"/>
    <x v="4"/>
    <x v="0"/>
    <n v="146"/>
    <x v="4"/>
    <x v="135"/>
    <n v="123"/>
    <n v="4.3"/>
    <n v="2023"/>
    <x v="4"/>
    <x v="1"/>
    <n v="4"/>
  </r>
  <r>
    <s v="Call_7767"/>
    <x v="14"/>
    <x v="2"/>
    <n v="148"/>
    <x v="4"/>
    <x v="135"/>
    <n v="36"/>
    <n v="2.9"/>
    <n v="2023"/>
    <x v="4"/>
    <x v="1"/>
    <n v="3"/>
  </r>
  <r>
    <s v="Call_7768"/>
    <x v="7"/>
    <x v="2"/>
    <n v="81"/>
    <x v="4"/>
    <x v="135"/>
    <n v="116"/>
    <n v="4.3"/>
    <n v="2023"/>
    <x v="4"/>
    <x v="0"/>
    <n v="4"/>
  </r>
  <r>
    <s v="Call_7769"/>
    <x v="9"/>
    <x v="1"/>
    <n v="115"/>
    <x v="4"/>
    <x v="135"/>
    <n v="40"/>
    <n v="4.9000000000000004"/>
    <n v="2023"/>
    <x v="4"/>
    <x v="0"/>
    <n v="5"/>
  </r>
  <r>
    <s v="Call_7770"/>
    <x v="9"/>
    <x v="1"/>
    <n v="117"/>
    <x v="3"/>
    <x v="135"/>
    <n v="40"/>
    <n v="4"/>
    <n v="2023"/>
    <x v="4"/>
    <x v="0"/>
    <n v="4"/>
  </r>
  <r>
    <s v="Call_7771"/>
    <x v="13"/>
    <x v="1"/>
    <n v="110"/>
    <x v="2"/>
    <x v="136"/>
    <n v="82"/>
    <n v="4"/>
    <n v="2023"/>
    <x v="5"/>
    <x v="0"/>
    <n v="4"/>
  </r>
  <r>
    <s v="Call_7772"/>
    <x v="8"/>
    <x v="2"/>
    <n v="103"/>
    <x v="0"/>
    <x v="136"/>
    <n v="62"/>
    <n v="3.4"/>
    <n v="2023"/>
    <x v="5"/>
    <x v="0"/>
    <n v="3"/>
  </r>
  <r>
    <s v="Call_7773"/>
    <x v="3"/>
    <x v="1"/>
    <n v="45"/>
    <x v="0"/>
    <x v="136"/>
    <n v="135"/>
    <n v="3.9"/>
    <n v="2023"/>
    <x v="5"/>
    <x v="2"/>
    <n v="4"/>
  </r>
  <r>
    <s v="Call_7774"/>
    <x v="13"/>
    <x v="1"/>
    <n v="110"/>
    <x v="1"/>
    <x v="136"/>
    <n v="155"/>
    <n v="2.1"/>
    <n v="2023"/>
    <x v="5"/>
    <x v="0"/>
    <n v="2"/>
  </r>
  <r>
    <s v="Call_7775"/>
    <x v="6"/>
    <x v="2"/>
    <n v="43"/>
    <x v="2"/>
    <x v="136"/>
    <n v="37"/>
    <n v="4.9000000000000004"/>
    <n v="2023"/>
    <x v="5"/>
    <x v="2"/>
    <n v="5"/>
  </r>
  <r>
    <s v="Call_7776"/>
    <x v="13"/>
    <x v="1"/>
    <n v="104"/>
    <x v="3"/>
    <x v="137"/>
    <n v="56"/>
    <n v="3.4"/>
    <n v="2023"/>
    <x v="6"/>
    <x v="0"/>
    <n v="3"/>
  </r>
  <r>
    <s v="Call_7777"/>
    <x v="13"/>
    <x v="1"/>
    <n v="101"/>
    <x v="3"/>
    <x v="137"/>
    <n v="185"/>
    <n v="5"/>
    <n v="2023"/>
    <x v="6"/>
    <x v="0"/>
    <n v="5"/>
  </r>
  <r>
    <s v="Call_7778"/>
    <x v="0"/>
    <x v="0"/>
    <n v="55"/>
    <x v="2"/>
    <x v="138"/>
    <n v="145"/>
    <n v="4.5"/>
    <n v="2023"/>
    <x v="0"/>
    <x v="2"/>
    <n v="5"/>
  </r>
  <r>
    <s v="Call_7779"/>
    <x v="7"/>
    <x v="2"/>
    <n v="40"/>
    <x v="0"/>
    <x v="138"/>
    <n v="116"/>
    <n v="2.6"/>
    <n v="2023"/>
    <x v="0"/>
    <x v="2"/>
    <n v="3"/>
  </r>
  <r>
    <s v="Call_7780"/>
    <x v="6"/>
    <x v="2"/>
    <n v="122"/>
    <x v="4"/>
    <x v="138"/>
    <n v="45"/>
    <n v="4.2"/>
    <n v="2023"/>
    <x v="0"/>
    <x v="1"/>
    <n v="4"/>
  </r>
  <r>
    <s v="Call_7781"/>
    <x v="4"/>
    <x v="0"/>
    <n v="98"/>
    <x v="3"/>
    <x v="139"/>
    <n v="35"/>
    <n v="4.5"/>
    <n v="2023"/>
    <x v="1"/>
    <x v="0"/>
    <n v="5"/>
  </r>
  <r>
    <s v="Call_7782"/>
    <x v="9"/>
    <x v="1"/>
    <n v="110"/>
    <x v="0"/>
    <x v="139"/>
    <n v="100"/>
    <n v="4.4000000000000004"/>
    <n v="2023"/>
    <x v="1"/>
    <x v="0"/>
    <n v="4"/>
  </r>
  <r>
    <s v="Call_7783"/>
    <x v="9"/>
    <x v="1"/>
    <n v="62"/>
    <x v="2"/>
    <x v="140"/>
    <n v="125"/>
    <n v="3.5"/>
    <n v="2023"/>
    <x v="2"/>
    <x v="0"/>
    <n v="4"/>
  </r>
  <r>
    <s v="Call_7784"/>
    <x v="6"/>
    <x v="2"/>
    <n v="134"/>
    <x v="4"/>
    <x v="140"/>
    <n v="120"/>
    <n v="3"/>
    <n v="2023"/>
    <x v="2"/>
    <x v="1"/>
    <n v="3"/>
  </r>
  <r>
    <s v="Call_7785"/>
    <x v="11"/>
    <x v="2"/>
    <n v="94"/>
    <x v="1"/>
    <x v="140"/>
    <n v="180"/>
    <n v="4.7"/>
    <n v="2023"/>
    <x v="2"/>
    <x v="0"/>
    <n v="5"/>
  </r>
  <r>
    <s v="Call_7786"/>
    <x v="5"/>
    <x v="2"/>
    <n v="63"/>
    <x v="0"/>
    <x v="140"/>
    <n v="44"/>
    <n v="3"/>
    <n v="2023"/>
    <x v="2"/>
    <x v="0"/>
    <n v="3"/>
  </r>
  <r>
    <s v="Call_7787"/>
    <x v="10"/>
    <x v="1"/>
    <n v="95"/>
    <x v="4"/>
    <x v="140"/>
    <n v="86"/>
    <n v="3.6"/>
    <n v="2023"/>
    <x v="2"/>
    <x v="0"/>
    <n v="4"/>
  </r>
  <r>
    <s v="Call_7788"/>
    <x v="6"/>
    <x v="2"/>
    <n v="106"/>
    <x v="4"/>
    <x v="141"/>
    <n v="120"/>
    <n v="4.0999999999999996"/>
    <n v="2023"/>
    <x v="3"/>
    <x v="0"/>
    <n v="4"/>
  </r>
  <r>
    <s v="Call_7789"/>
    <x v="3"/>
    <x v="1"/>
    <n v="94"/>
    <x v="1"/>
    <x v="141"/>
    <n v="100"/>
    <n v="3.7"/>
    <n v="2023"/>
    <x v="3"/>
    <x v="0"/>
    <n v="4"/>
  </r>
  <r>
    <s v="Call_7790"/>
    <x v="3"/>
    <x v="1"/>
    <n v="51"/>
    <x v="1"/>
    <x v="142"/>
    <n v="108"/>
    <n v="4.5"/>
    <n v="2023"/>
    <x v="4"/>
    <x v="2"/>
    <n v="5"/>
  </r>
  <r>
    <s v="Call_7791"/>
    <x v="14"/>
    <x v="2"/>
    <n v="39"/>
    <x v="1"/>
    <x v="142"/>
    <n v="46"/>
    <n v="4.5999999999999996"/>
    <n v="2023"/>
    <x v="4"/>
    <x v="2"/>
    <n v="5"/>
  </r>
  <r>
    <s v="Call_7792"/>
    <x v="7"/>
    <x v="2"/>
    <n v="111"/>
    <x v="4"/>
    <x v="142"/>
    <n v="210"/>
    <n v="4.3"/>
    <n v="2023"/>
    <x v="4"/>
    <x v="0"/>
    <n v="4"/>
  </r>
  <r>
    <s v="Call_7793"/>
    <x v="12"/>
    <x v="0"/>
    <n v="141"/>
    <x v="2"/>
    <x v="143"/>
    <n v="54"/>
    <n v="4.8"/>
    <n v="2023"/>
    <x v="6"/>
    <x v="1"/>
    <n v="5"/>
  </r>
  <r>
    <s v="Call_7794"/>
    <x v="5"/>
    <x v="2"/>
    <n v="147"/>
    <x v="4"/>
    <x v="143"/>
    <n v="115"/>
    <n v="4.7"/>
    <n v="2023"/>
    <x v="6"/>
    <x v="1"/>
    <n v="5"/>
  </r>
  <r>
    <s v="Call_7795"/>
    <x v="11"/>
    <x v="2"/>
    <n v="49"/>
    <x v="1"/>
    <x v="144"/>
    <n v="100"/>
    <n v="2.2000000000000002"/>
    <n v="2023"/>
    <x v="0"/>
    <x v="2"/>
    <n v="2"/>
  </r>
  <r>
    <s v="Call_7796"/>
    <x v="2"/>
    <x v="1"/>
    <n v="75"/>
    <x v="4"/>
    <x v="144"/>
    <n v="38"/>
    <n v="4.4000000000000004"/>
    <n v="2023"/>
    <x v="0"/>
    <x v="0"/>
    <n v="4"/>
  </r>
  <r>
    <s v="Call_7797"/>
    <x v="12"/>
    <x v="0"/>
    <n v="48"/>
    <x v="2"/>
    <x v="145"/>
    <n v="120"/>
    <n v="4.0999999999999996"/>
    <n v="2023"/>
    <x v="1"/>
    <x v="2"/>
    <n v="4"/>
  </r>
  <r>
    <s v="Call_7798"/>
    <x v="9"/>
    <x v="1"/>
    <n v="48"/>
    <x v="2"/>
    <x v="145"/>
    <n v="120"/>
    <n v="4.0999999999999996"/>
    <n v="2023"/>
    <x v="1"/>
    <x v="2"/>
    <n v="4"/>
  </r>
  <r>
    <s v="Call_7799"/>
    <x v="1"/>
    <x v="0"/>
    <n v="138"/>
    <x v="1"/>
    <x v="145"/>
    <n v="29"/>
    <n v="4.4000000000000004"/>
    <n v="2023"/>
    <x v="1"/>
    <x v="1"/>
    <n v="4"/>
  </r>
  <r>
    <s v="Call_7800"/>
    <x v="10"/>
    <x v="1"/>
    <n v="144"/>
    <x v="1"/>
    <x v="146"/>
    <n v="25"/>
    <n v="3.7"/>
    <n v="2023"/>
    <x v="2"/>
    <x v="1"/>
    <n v="4"/>
  </r>
  <r>
    <s v="Call_7801"/>
    <x v="13"/>
    <x v="1"/>
    <n v="119"/>
    <x v="4"/>
    <x v="147"/>
    <n v="116"/>
    <n v="3.8"/>
    <n v="2023"/>
    <x v="3"/>
    <x v="0"/>
    <n v="4"/>
  </r>
  <r>
    <s v="Call_7802"/>
    <x v="1"/>
    <x v="0"/>
    <n v="101"/>
    <x v="2"/>
    <x v="148"/>
    <n v="132"/>
    <n v="4.3"/>
    <n v="2023"/>
    <x v="4"/>
    <x v="0"/>
    <n v="4"/>
  </r>
  <r>
    <s v="Call_7803"/>
    <x v="10"/>
    <x v="1"/>
    <n v="59"/>
    <x v="4"/>
    <x v="149"/>
    <n v="90"/>
    <n v="3.5"/>
    <n v="2023"/>
    <x v="5"/>
    <x v="2"/>
    <n v="4"/>
  </r>
  <r>
    <s v="Call_7804"/>
    <x v="7"/>
    <x v="2"/>
    <n v="125"/>
    <x v="0"/>
    <x v="149"/>
    <n v="87"/>
    <n v="4.0999999999999996"/>
    <n v="2023"/>
    <x v="5"/>
    <x v="1"/>
    <n v="4"/>
  </r>
  <r>
    <s v="Call_7805"/>
    <x v="6"/>
    <x v="2"/>
    <n v="147"/>
    <x v="4"/>
    <x v="149"/>
    <n v="140"/>
    <n v="4.2"/>
    <n v="2023"/>
    <x v="5"/>
    <x v="1"/>
    <n v="4"/>
  </r>
  <r>
    <s v="Call_7806"/>
    <x v="8"/>
    <x v="2"/>
    <n v="76"/>
    <x v="4"/>
    <x v="149"/>
    <n v="164"/>
    <n v="4.5"/>
    <n v="2023"/>
    <x v="5"/>
    <x v="0"/>
    <n v="5"/>
  </r>
  <r>
    <s v="Call_7807"/>
    <x v="5"/>
    <x v="2"/>
    <n v="99"/>
    <x v="2"/>
    <x v="150"/>
    <n v="180"/>
    <n v="3.8"/>
    <n v="2023"/>
    <x v="6"/>
    <x v="0"/>
    <n v="4"/>
  </r>
  <r>
    <s v="Call_7808"/>
    <x v="14"/>
    <x v="2"/>
    <n v="111"/>
    <x v="3"/>
    <x v="151"/>
    <n v="22"/>
    <n v="4.0999999999999996"/>
    <n v="2023"/>
    <x v="0"/>
    <x v="0"/>
    <n v="4"/>
  </r>
  <r>
    <s v="Call_7809"/>
    <x v="4"/>
    <x v="0"/>
    <n v="147"/>
    <x v="0"/>
    <x v="151"/>
    <n v="82"/>
    <n v="4.4000000000000004"/>
    <n v="2023"/>
    <x v="0"/>
    <x v="1"/>
    <n v="4"/>
  </r>
  <r>
    <s v="Call_7810"/>
    <x v="0"/>
    <x v="0"/>
    <n v="141"/>
    <x v="2"/>
    <x v="151"/>
    <n v="100"/>
    <n v="4.5999999999999996"/>
    <n v="2023"/>
    <x v="0"/>
    <x v="1"/>
    <n v="5"/>
  </r>
  <r>
    <s v="Call_7811"/>
    <x v="8"/>
    <x v="2"/>
    <n v="71"/>
    <x v="4"/>
    <x v="152"/>
    <n v="52"/>
    <n v="3.4"/>
    <n v="2023"/>
    <x v="1"/>
    <x v="0"/>
    <n v="3"/>
  </r>
  <r>
    <s v="Call_7812"/>
    <x v="8"/>
    <x v="2"/>
    <n v="121"/>
    <x v="0"/>
    <x v="153"/>
    <n v="84"/>
    <n v="4.5999999999999996"/>
    <n v="2023"/>
    <x v="2"/>
    <x v="1"/>
    <n v="5"/>
  </r>
  <r>
    <s v="Call_7813"/>
    <x v="8"/>
    <x v="2"/>
    <n v="60"/>
    <x v="0"/>
    <x v="153"/>
    <n v="37"/>
    <n v="3.9"/>
    <n v="2023"/>
    <x v="2"/>
    <x v="2"/>
    <n v="4"/>
  </r>
  <r>
    <s v="Call_7814"/>
    <x v="11"/>
    <x v="2"/>
    <n v="158"/>
    <x v="2"/>
    <x v="154"/>
    <n v="190"/>
    <n v="4"/>
    <n v="2023"/>
    <x v="3"/>
    <x v="1"/>
    <n v="4"/>
  </r>
  <r>
    <s v="Call_7815"/>
    <x v="6"/>
    <x v="2"/>
    <n v="159"/>
    <x v="1"/>
    <x v="154"/>
    <n v="66"/>
    <n v="3.4"/>
    <n v="2023"/>
    <x v="3"/>
    <x v="1"/>
    <n v="3"/>
  </r>
  <r>
    <s v="Call_7816"/>
    <x v="1"/>
    <x v="0"/>
    <n v="70"/>
    <x v="4"/>
    <x v="155"/>
    <n v="116"/>
    <n v="3.2"/>
    <n v="2023"/>
    <x v="4"/>
    <x v="0"/>
    <n v="3"/>
  </r>
  <r>
    <s v="Call_7817"/>
    <x v="12"/>
    <x v="0"/>
    <n v="78"/>
    <x v="3"/>
    <x v="155"/>
    <n v="28"/>
    <n v="3.9"/>
    <n v="2023"/>
    <x v="4"/>
    <x v="0"/>
    <n v="4"/>
  </r>
  <r>
    <s v="Call_7818"/>
    <x v="4"/>
    <x v="0"/>
    <n v="103"/>
    <x v="4"/>
    <x v="155"/>
    <n v="120"/>
    <n v="5"/>
    <n v="2023"/>
    <x v="4"/>
    <x v="0"/>
    <n v="5"/>
  </r>
  <r>
    <s v="Call_7819"/>
    <x v="2"/>
    <x v="1"/>
    <n v="108"/>
    <x v="2"/>
    <x v="155"/>
    <n v="56"/>
    <n v="3.5"/>
    <n v="2023"/>
    <x v="4"/>
    <x v="0"/>
    <n v="4"/>
  </r>
  <r>
    <s v="Call_7820"/>
    <x v="2"/>
    <x v="1"/>
    <n v="44"/>
    <x v="0"/>
    <x v="155"/>
    <n v="170"/>
    <n v="3.8"/>
    <n v="2023"/>
    <x v="4"/>
    <x v="2"/>
    <n v="4"/>
  </r>
  <r>
    <s v="Call_7821"/>
    <x v="12"/>
    <x v="0"/>
    <n v="127"/>
    <x v="2"/>
    <x v="156"/>
    <n v="200"/>
    <n v="4.8"/>
    <n v="2023"/>
    <x v="5"/>
    <x v="1"/>
    <n v="5"/>
  </r>
  <r>
    <s v="Call_7822"/>
    <x v="4"/>
    <x v="0"/>
    <n v="132"/>
    <x v="4"/>
    <x v="157"/>
    <n v="50"/>
    <n v="4.2"/>
    <n v="2023"/>
    <x v="6"/>
    <x v="1"/>
    <n v="4"/>
  </r>
  <r>
    <s v="Call_7823"/>
    <x v="0"/>
    <x v="0"/>
    <n v="106"/>
    <x v="3"/>
    <x v="157"/>
    <n v="112"/>
    <n v="3.7"/>
    <n v="2023"/>
    <x v="6"/>
    <x v="0"/>
    <n v="4"/>
  </r>
  <r>
    <s v="Call_7824"/>
    <x v="14"/>
    <x v="2"/>
    <n v="107"/>
    <x v="4"/>
    <x v="158"/>
    <n v="39"/>
    <n v="4.8"/>
    <n v="2023"/>
    <x v="0"/>
    <x v="0"/>
    <n v="5"/>
  </r>
  <r>
    <s v="Call_7825"/>
    <x v="6"/>
    <x v="2"/>
    <n v="85"/>
    <x v="3"/>
    <x v="158"/>
    <n v="38"/>
    <n v="4.8"/>
    <n v="2023"/>
    <x v="0"/>
    <x v="0"/>
    <n v="5"/>
  </r>
  <r>
    <s v="Call_7826"/>
    <x v="5"/>
    <x v="2"/>
    <n v="49"/>
    <x v="4"/>
    <x v="159"/>
    <n v="84"/>
    <n v="2.9"/>
    <n v="2023"/>
    <x v="1"/>
    <x v="2"/>
    <n v="3"/>
  </r>
  <r>
    <s v="Call_7827"/>
    <x v="8"/>
    <x v="2"/>
    <n v="117"/>
    <x v="2"/>
    <x v="160"/>
    <n v="82"/>
    <n v="3.5"/>
    <n v="2023"/>
    <x v="2"/>
    <x v="0"/>
    <n v="4"/>
  </r>
  <r>
    <s v="Call_7828"/>
    <x v="14"/>
    <x v="2"/>
    <n v="136"/>
    <x v="3"/>
    <x v="160"/>
    <n v="37"/>
    <n v="0.9"/>
    <n v="2023"/>
    <x v="2"/>
    <x v="1"/>
    <n v="1"/>
  </r>
  <r>
    <s v="Call_7829"/>
    <x v="2"/>
    <x v="1"/>
    <n v="130"/>
    <x v="1"/>
    <x v="161"/>
    <n v="87"/>
    <n v="3.4"/>
    <n v="2023"/>
    <x v="3"/>
    <x v="1"/>
    <n v="3"/>
  </r>
  <r>
    <s v="Call_7830"/>
    <x v="2"/>
    <x v="1"/>
    <n v="73"/>
    <x v="1"/>
    <x v="161"/>
    <n v="75"/>
    <n v="2.7"/>
    <n v="2023"/>
    <x v="3"/>
    <x v="0"/>
    <n v="3"/>
  </r>
  <r>
    <s v="Call_7831"/>
    <x v="5"/>
    <x v="2"/>
    <n v="80"/>
    <x v="4"/>
    <x v="161"/>
    <n v="32"/>
    <n v="4.7"/>
    <n v="2023"/>
    <x v="3"/>
    <x v="0"/>
    <n v="5"/>
  </r>
  <r>
    <s v="Call_7832"/>
    <x v="13"/>
    <x v="1"/>
    <n v="44"/>
    <x v="2"/>
    <x v="161"/>
    <n v="33"/>
    <n v="3"/>
    <n v="2023"/>
    <x v="3"/>
    <x v="2"/>
    <n v="3"/>
  </r>
  <r>
    <s v="Call_7833"/>
    <x v="13"/>
    <x v="1"/>
    <n v="102"/>
    <x v="0"/>
    <x v="161"/>
    <n v="76"/>
    <n v="4.2"/>
    <n v="2023"/>
    <x v="3"/>
    <x v="0"/>
    <n v="4"/>
  </r>
  <r>
    <s v="Call_7834"/>
    <x v="11"/>
    <x v="2"/>
    <n v="74"/>
    <x v="0"/>
    <x v="161"/>
    <n v="117"/>
    <n v="4.8"/>
    <n v="2023"/>
    <x v="3"/>
    <x v="0"/>
    <n v="5"/>
  </r>
  <r>
    <s v="Call_7835"/>
    <x v="5"/>
    <x v="2"/>
    <n v="52"/>
    <x v="2"/>
    <x v="162"/>
    <n v="70"/>
    <n v="4.0999999999999996"/>
    <n v="2023"/>
    <x v="5"/>
    <x v="2"/>
    <n v="4"/>
  </r>
  <r>
    <s v="Call_7836"/>
    <x v="5"/>
    <x v="2"/>
    <n v="74"/>
    <x v="1"/>
    <x v="162"/>
    <n v="37"/>
    <n v="2.7"/>
    <n v="2023"/>
    <x v="5"/>
    <x v="0"/>
    <n v="3"/>
  </r>
  <r>
    <s v="Call_7837"/>
    <x v="2"/>
    <x v="1"/>
    <n v="96"/>
    <x v="0"/>
    <x v="162"/>
    <n v="46"/>
    <n v="2.9"/>
    <n v="2023"/>
    <x v="5"/>
    <x v="0"/>
    <n v="3"/>
  </r>
  <r>
    <s v="Call_7838"/>
    <x v="7"/>
    <x v="2"/>
    <n v="104"/>
    <x v="4"/>
    <x v="162"/>
    <n v="136"/>
    <n v="5"/>
    <n v="2023"/>
    <x v="5"/>
    <x v="0"/>
    <n v="5"/>
  </r>
  <r>
    <s v="Call_7839"/>
    <x v="2"/>
    <x v="1"/>
    <n v="123"/>
    <x v="0"/>
    <x v="163"/>
    <n v="44"/>
    <n v="4.5999999999999996"/>
    <n v="2023"/>
    <x v="6"/>
    <x v="1"/>
    <n v="5"/>
  </r>
  <r>
    <s v="Call_7840"/>
    <x v="9"/>
    <x v="1"/>
    <n v="100"/>
    <x v="3"/>
    <x v="163"/>
    <n v="69"/>
    <n v="3"/>
    <n v="2023"/>
    <x v="6"/>
    <x v="0"/>
    <n v="3"/>
  </r>
  <r>
    <s v="Call_7841"/>
    <x v="7"/>
    <x v="2"/>
    <n v="35"/>
    <x v="2"/>
    <x v="164"/>
    <n v="86"/>
    <n v="4.5999999999999996"/>
    <n v="2023"/>
    <x v="0"/>
    <x v="2"/>
    <n v="5"/>
  </r>
  <r>
    <s v="Call_7842"/>
    <x v="5"/>
    <x v="2"/>
    <n v="123"/>
    <x v="4"/>
    <x v="164"/>
    <n v="68"/>
    <n v="4.5"/>
    <n v="2023"/>
    <x v="0"/>
    <x v="1"/>
    <n v="5"/>
  </r>
  <r>
    <s v="Call_7843"/>
    <x v="8"/>
    <x v="2"/>
    <n v="133"/>
    <x v="2"/>
    <x v="165"/>
    <n v="21"/>
    <n v="3.7"/>
    <n v="2023"/>
    <x v="1"/>
    <x v="1"/>
    <n v="4"/>
  </r>
  <r>
    <s v="Call_7844"/>
    <x v="2"/>
    <x v="1"/>
    <n v="126"/>
    <x v="1"/>
    <x v="165"/>
    <n v="190"/>
    <n v="2.4"/>
    <n v="2023"/>
    <x v="1"/>
    <x v="1"/>
    <n v="2"/>
  </r>
  <r>
    <s v="Call_7845"/>
    <x v="5"/>
    <x v="2"/>
    <n v="39"/>
    <x v="0"/>
    <x v="165"/>
    <n v="176"/>
    <n v="4.3"/>
    <n v="2023"/>
    <x v="1"/>
    <x v="2"/>
    <n v="4"/>
  </r>
  <r>
    <s v="Call_7846"/>
    <x v="11"/>
    <x v="2"/>
    <n v="31"/>
    <x v="4"/>
    <x v="165"/>
    <n v="172"/>
    <n v="3.9"/>
    <n v="2023"/>
    <x v="1"/>
    <x v="2"/>
    <n v="4"/>
  </r>
  <r>
    <s v="Call_7847"/>
    <x v="4"/>
    <x v="0"/>
    <n v="25"/>
    <x v="2"/>
    <x v="165"/>
    <n v="84"/>
    <n v="4.5"/>
    <n v="2023"/>
    <x v="1"/>
    <x v="3"/>
    <n v="5"/>
  </r>
  <r>
    <s v="Call_7848"/>
    <x v="1"/>
    <x v="0"/>
    <n v="132"/>
    <x v="3"/>
    <x v="166"/>
    <n v="42"/>
    <n v="5"/>
    <n v="2023"/>
    <x v="2"/>
    <x v="1"/>
    <n v="5"/>
  </r>
  <r>
    <s v="Call_7849"/>
    <x v="7"/>
    <x v="2"/>
    <n v="63"/>
    <x v="1"/>
    <x v="166"/>
    <n v="70"/>
    <n v="1.6"/>
    <n v="2023"/>
    <x v="2"/>
    <x v="0"/>
    <n v="2"/>
  </r>
  <r>
    <s v="Call_7850"/>
    <x v="9"/>
    <x v="1"/>
    <n v="135"/>
    <x v="3"/>
    <x v="166"/>
    <n v="60"/>
    <n v="4.3"/>
    <n v="2023"/>
    <x v="2"/>
    <x v="1"/>
    <n v="4"/>
  </r>
  <r>
    <s v="Call_7851"/>
    <x v="6"/>
    <x v="2"/>
    <n v="101"/>
    <x v="1"/>
    <x v="166"/>
    <n v="84"/>
    <n v="3.5"/>
    <n v="2023"/>
    <x v="2"/>
    <x v="0"/>
    <n v="4"/>
  </r>
  <r>
    <s v="Call_7852"/>
    <x v="8"/>
    <x v="2"/>
    <n v="80"/>
    <x v="0"/>
    <x v="167"/>
    <n v="68"/>
    <n v="3.1"/>
    <n v="2023"/>
    <x v="3"/>
    <x v="0"/>
    <n v="3"/>
  </r>
  <r>
    <s v="Call_7853"/>
    <x v="13"/>
    <x v="1"/>
    <n v="28"/>
    <x v="0"/>
    <x v="167"/>
    <n v="44"/>
    <n v="2.9"/>
    <n v="2023"/>
    <x v="3"/>
    <x v="3"/>
    <n v="3"/>
  </r>
  <r>
    <s v="Call_7854"/>
    <x v="6"/>
    <x v="2"/>
    <n v="102"/>
    <x v="3"/>
    <x v="168"/>
    <n v="99"/>
    <n v="3.2"/>
    <n v="2023"/>
    <x v="4"/>
    <x v="0"/>
    <n v="3"/>
  </r>
  <r>
    <s v="Call_7855"/>
    <x v="7"/>
    <x v="2"/>
    <n v="60"/>
    <x v="3"/>
    <x v="169"/>
    <n v="66"/>
    <n v="3.2"/>
    <n v="2023"/>
    <x v="5"/>
    <x v="2"/>
    <n v="3"/>
  </r>
  <r>
    <s v="Call_7856"/>
    <x v="3"/>
    <x v="1"/>
    <n v="103"/>
    <x v="3"/>
    <x v="169"/>
    <n v="102"/>
    <n v="4.5"/>
    <n v="2023"/>
    <x v="5"/>
    <x v="0"/>
    <n v="5"/>
  </r>
  <r>
    <s v="Call_7857"/>
    <x v="8"/>
    <x v="2"/>
    <n v="90"/>
    <x v="0"/>
    <x v="170"/>
    <n v="129"/>
    <n v="3.9"/>
    <n v="2024"/>
    <x v="6"/>
    <x v="0"/>
    <n v="4"/>
  </r>
  <r>
    <s v="Call_7858"/>
    <x v="12"/>
    <x v="0"/>
    <n v="88"/>
    <x v="3"/>
    <x v="170"/>
    <n v="80"/>
    <n v="4.2"/>
    <n v="2024"/>
    <x v="6"/>
    <x v="0"/>
    <n v="4"/>
  </r>
  <r>
    <s v="Call_7859"/>
    <x v="3"/>
    <x v="1"/>
    <n v="37"/>
    <x v="3"/>
    <x v="170"/>
    <n v="54"/>
    <n v="1.8"/>
    <n v="2024"/>
    <x v="6"/>
    <x v="2"/>
    <n v="2"/>
  </r>
  <r>
    <s v="Call_7860"/>
    <x v="13"/>
    <x v="1"/>
    <n v="142"/>
    <x v="0"/>
    <x v="170"/>
    <n v="116"/>
    <n v="4.2"/>
    <n v="2024"/>
    <x v="6"/>
    <x v="1"/>
    <n v="4"/>
  </r>
  <r>
    <s v="Call_7861"/>
    <x v="13"/>
    <x v="1"/>
    <n v="153"/>
    <x v="2"/>
    <x v="170"/>
    <n v="102"/>
    <n v="3.1"/>
    <n v="2024"/>
    <x v="6"/>
    <x v="1"/>
    <n v="3"/>
  </r>
  <r>
    <s v="Call_7862"/>
    <x v="10"/>
    <x v="1"/>
    <n v="128"/>
    <x v="1"/>
    <x v="170"/>
    <n v="140"/>
    <n v="4.3"/>
    <n v="2024"/>
    <x v="6"/>
    <x v="1"/>
    <n v="4"/>
  </r>
  <r>
    <s v="Call_7863"/>
    <x v="7"/>
    <x v="2"/>
    <n v="110"/>
    <x v="1"/>
    <x v="171"/>
    <n v="104"/>
    <n v="4.4000000000000004"/>
    <n v="2024"/>
    <x v="0"/>
    <x v="0"/>
    <n v="4"/>
  </r>
  <r>
    <s v="Call_7864"/>
    <x v="10"/>
    <x v="1"/>
    <n v="139"/>
    <x v="3"/>
    <x v="171"/>
    <n v="81"/>
    <n v="4.4000000000000004"/>
    <n v="2024"/>
    <x v="0"/>
    <x v="1"/>
    <n v="4"/>
  </r>
  <r>
    <s v="Call_7865"/>
    <x v="6"/>
    <x v="2"/>
    <n v="109"/>
    <x v="4"/>
    <x v="172"/>
    <n v="140"/>
    <n v="2.4"/>
    <n v="2024"/>
    <x v="2"/>
    <x v="0"/>
    <n v="2"/>
  </r>
  <r>
    <s v="Call_7866"/>
    <x v="1"/>
    <x v="0"/>
    <n v="57"/>
    <x v="0"/>
    <x v="173"/>
    <n v="120"/>
    <n v="3.5"/>
    <n v="2024"/>
    <x v="3"/>
    <x v="2"/>
    <n v="4"/>
  </r>
  <r>
    <s v="Call_7867"/>
    <x v="6"/>
    <x v="2"/>
    <n v="68"/>
    <x v="3"/>
    <x v="173"/>
    <n v="41"/>
    <n v="3.1"/>
    <n v="2024"/>
    <x v="3"/>
    <x v="0"/>
    <n v="3"/>
  </r>
  <r>
    <s v="Call_7868"/>
    <x v="4"/>
    <x v="0"/>
    <n v="128"/>
    <x v="3"/>
    <x v="173"/>
    <n v="116"/>
    <n v="2.2999999999999998"/>
    <n v="2024"/>
    <x v="3"/>
    <x v="1"/>
    <n v="2"/>
  </r>
  <r>
    <s v="Call_7869"/>
    <x v="0"/>
    <x v="0"/>
    <n v="102"/>
    <x v="0"/>
    <x v="174"/>
    <n v="70"/>
    <n v="2.8"/>
    <n v="2024"/>
    <x v="4"/>
    <x v="0"/>
    <n v="3"/>
  </r>
  <r>
    <s v="Call_7870"/>
    <x v="10"/>
    <x v="1"/>
    <n v="52"/>
    <x v="2"/>
    <x v="174"/>
    <n v="42"/>
    <n v="4.5"/>
    <n v="2024"/>
    <x v="4"/>
    <x v="2"/>
    <n v="5"/>
  </r>
  <r>
    <s v="Call_7871"/>
    <x v="4"/>
    <x v="0"/>
    <n v="55"/>
    <x v="1"/>
    <x v="175"/>
    <n v="112"/>
    <n v="4.5"/>
    <n v="2024"/>
    <x v="5"/>
    <x v="2"/>
    <n v="5"/>
  </r>
  <r>
    <s v="Call_7872"/>
    <x v="3"/>
    <x v="1"/>
    <n v="107"/>
    <x v="3"/>
    <x v="175"/>
    <n v="20"/>
    <n v="4.5"/>
    <n v="2024"/>
    <x v="5"/>
    <x v="0"/>
    <n v="5"/>
  </r>
  <r>
    <s v="Call_7873"/>
    <x v="8"/>
    <x v="2"/>
    <n v="88"/>
    <x v="2"/>
    <x v="176"/>
    <n v="110"/>
    <n v="4.8"/>
    <n v="2024"/>
    <x v="6"/>
    <x v="0"/>
    <n v="5"/>
  </r>
  <r>
    <s v="Call_7874"/>
    <x v="5"/>
    <x v="2"/>
    <n v="49"/>
    <x v="2"/>
    <x v="176"/>
    <n v="39"/>
    <n v="4.5999999999999996"/>
    <n v="2024"/>
    <x v="6"/>
    <x v="2"/>
    <n v="5"/>
  </r>
  <r>
    <s v="Call_7875"/>
    <x v="8"/>
    <x v="2"/>
    <n v="72"/>
    <x v="0"/>
    <x v="176"/>
    <n v="76"/>
    <n v="4.5"/>
    <n v="2024"/>
    <x v="6"/>
    <x v="0"/>
    <n v="5"/>
  </r>
  <r>
    <s v="Call_7876"/>
    <x v="1"/>
    <x v="0"/>
    <n v="50"/>
    <x v="0"/>
    <x v="176"/>
    <n v="40"/>
    <n v="5"/>
    <n v="2024"/>
    <x v="6"/>
    <x v="2"/>
    <n v="5"/>
  </r>
  <r>
    <s v="Call_7877"/>
    <x v="8"/>
    <x v="2"/>
    <n v="52"/>
    <x v="3"/>
    <x v="176"/>
    <n v="42"/>
    <n v="4.8"/>
    <n v="2024"/>
    <x v="6"/>
    <x v="2"/>
    <n v="5"/>
  </r>
  <r>
    <s v="Call_7878"/>
    <x v="2"/>
    <x v="1"/>
    <n v="85"/>
    <x v="4"/>
    <x v="177"/>
    <n v="215"/>
    <n v="3.5"/>
    <n v="2024"/>
    <x v="0"/>
    <x v="0"/>
    <n v="4"/>
  </r>
  <r>
    <s v="Call_7879"/>
    <x v="9"/>
    <x v="1"/>
    <n v="98"/>
    <x v="4"/>
    <x v="178"/>
    <n v="130"/>
    <n v="3.4"/>
    <n v="2024"/>
    <x v="1"/>
    <x v="0"/>
    <n v="3"/>
  </r>
  <r>
    <s v="Call_7880"/>
    <x v="11"/>
    <x v="2"/>
    <n v="52"/>
    <x v="4"/>
    <x v="178"/>
    <n v="190"/>
    <n v="3.3"/>
    <n v="2024"/>
    <x v="1"/>
    <x v="2"/>
    <n v="3"/>
  </r>
  <r>
    <s v="Call_7881"/>
    <x v="4"/>
    <x v="0"/>
    <n v="154"/>
    <x v="2"/>
    <x v="178"/>
    <n v="164"/>
    <n v="4.9000000000000004"/>
    <n v="2024"/>
    <x v="1"/>
    <x v="1"/>
    <n v="5"/>
  </r>
  <r>
    <s v="Call_7882"/>
    <x v="14"/>
    <x v="2"/>
    <n v="131"/>
    <x v="1"/>
    <x v="179"/>
    <n v="76"/>
    <n v="4.5"/>
    <n v="2024"/>
    <x v="2"/>
    <x v="1"/>
    <n v="5"/>
  </r>
  <r>
    <s v="Call_7883"/>
    <x v="2"/>
    <x v="1"/>
    <n v="73"/>
    <x v="1"/>
    <x v="180"/>
    <n v="87"/>
    <n v="4.8"/>
    <n v="2024"/>
    <x v="3"/>
    <x v="0"/>
    <n v="5"/>
  </r>
  <r>
    <s v="Call_7884"/>
    <x v="7"/>
    <x v="2"/>
    <n v="45"/>
    <x v="4"/>
    <x v="180"/>
    <n v="84"/>
    <n v="4.8"/>
    <n v="2024"/>
    <x v="3"/>
    <x v="2"/>
    <n v="5"/>
  </r>
  <r>
    <s v="Call_7885"/>
    <x v="10"/>
    <x v="1"/>
    <n v="114"/>
    <x v="3"/>
    <x v="180"/>
    <n v="114"/>
    <n v="3.9"/>
    <n v="2024"/>
    <x v="3"/>
    <x v="0"/>
    <n v="4"/>
  </r>
  <r>
    <s v="Call_7886"/>
    <x v="9"/>
    <x v="1"/>
    <n v="69"/>
    <x v="1"/>
    <x v="181"/>
    <n v="56"/>
    <n v="3.9"/>
    <n v="2024"/>
    <x v="4"/>
    <x v="0"/>
    <n v="4"/>
  </r>
  <r>
    <s v="Call_7887"/>
    <x v="14"/>
    <x v="2"/>
    <n v="33"/>
    <x v="2"/>
    <x v="181"/>
    <n v="27"/>
    <n v="3.7"/>
    <n v="2024"/>
    <x v="4"/>
    <x v="2"/>
    <n v="4"/>
  </r>
  <r>
    <s v="Call_7888"/>
    <x v="1"/>
    <x v="0"/>
    <n v="31"/>
    <x v="0"/>
    <x v="182"/>
    <n v="84"/>
    <n v="4.8"/>
    <n v="2024"/>
    <x v="5"/>
    <x v="2"/>
    <n v="5"/>
  </r>
  <r>
    <s v="Call_7889"/>
    <x v="7"/>
    <x v="2"/>
    <n v="168"/>
    <x v="2"/>
    <x v="182"/>
    <n v="72"/>
    <n v="3.5"/>
    <n v="2024"/>
    <x v="5"/>
    <x v="1"/>
    <n v="4"/>
  </r>
  <r>
    <s v="Call_7890"/>
    <x v="2"/>
    <x v="1"/>
    <n v="111"/>
    <x v="3"/>
    <x v="183"/>
    <n v="126"/>
    <n v="4.2"/>
    <n v="2024"/>
    <x v="6"/>
    <x v="0"/>
    <n v="4"/>
  </r>
  <r>
    <s v="Call_7891"/>
    <x v="1"/>
    <x v="0"/>
    <n v="80"/>
    <x v="2"/>
    <x v="184"/>
    <n v="88"/>
    <n v="4.9000000000000004"/>
    <n v="2024"/>
    <x v="0"/>
    <x v="0"/>
    <n v="5"/>
  </r>
  <r>
    <s v="Call_7892"/>
    <x v="0"/>
    <x v="0"/>
    <n v="37"/>
    <x v="2"/>
    <x v="184"/>
    <n v="124"/>
    <n v="4.5999999999999996"/>
    <n v="2024"/>
    <x v="0"/>
    <x v="2"/>
    <n v="5"/>
  </r>
  <r>
    <s v="Call_7893"/>
    <x v="13"/>
    <x v="1"/>
    <n v="137"/>
    <x v="2"/>
    <x v="185"/>
    <n v="84"/>
    <n v="2.6"/>
    <n v="2024"/>
    <x v="1"/>
    <x v="1"/>
    <n v="3"/>
  </r>
  <r>
    <s v="Call_7894"/>
    <x v="9"/>
    <x v="1"/>
    <n v="123"/>
    <x v="3"/>
    <x v="185"/>
    <n v="80"/>
    <n v="2.7"/>
    <n v="2024"/>
    <x v="1"/>
    <x v="1"/>
    <n v="3"/>
  </r>
  <r>
    <s v="Call_7895"/>
    <x v="12"/>
    <x v="0"/>
    <n v="105"/>
    <x v="3"/>
    <x v="186"/>
    <n v="176"/>
    <n v="4.7"/>
    <n v="2024"/>
    <x v="2"/>
    <x v="0"/>
    <n v="5"/>
  </r>
  <r>
    <s v="Call_7896"/>
    <x v="0"/>
    <x v="0"/>
    <n v="76"/>
    <x v="4"/>
    <x v="187"/>
    <n v="84"/>
    <n v="3.9"/>
    <n v="2024"/>
    <x v="3"/>
    <x v="0"/>
    <n v="4"/>
  </r>
  <r>
    <s v="Call_7897"/>
    <x v="1"/>
    <x v="0"/>
    <n v="144"/>
    <x v="4"/>
    <x v="187"/>
    <n v="164"/>
    <n v="2.8"/>
    <n v="2024"/>
    <x v="3"/>
    <x v="1"/>
    <n v="3"/>
  </r>
  <r>
    <s v="Call_7898"/>
    <x v="14"/>
    <x v="2"/>
    <n v="109"/>
    <x v="0"/>
    <x v="187"/>
    <n v="132"/>
    <n v="3.1"/>
    <n v="2024"/>
    <x v="3"/>
    <x v="0"/>
    <n v="3"/>
  </r>
  <r>
    <s v="Call_7899"/>
    <x v="9"/>
    <x v="1"/>
    <n v="172"/>
    <x v="2"/>
    <x v="188"/>
    <n v="27"/>
    <n v="4.2"/>
    <n v="2024"/>
    <x v="4"/>
    <x v="1"/>
    <n v="4"/>
  </r>
  <r>
    <s v="Call_7900"/>
    <x v="1"/>
    <x v="0"/>
    <n v="56"/>
    <x v="3"/>
    <x v="188"/>
    <n v="27"/>
    <n v="4.3"/>
    <n v="2024"/>
    <x v="4"/>
    <x v="2"/>
    <n v="4"/>
  </r>
  <r>
    <s v="Call_7901"/>
    <x v="1"/>
    <x v="0"/>
    <n v="121"/>
    <x v="1"/>
    <x v="188"/>
    <n v="20"/>
    <n v="2.7"/>
    <n v="2024"/>
    <x v="4"/>
    <x v="1"/>
    <n v="3"/>
  </r>
  <r>
    <s v="Call_7902"/>
    <x v="9"/>
    <x v="1"/>
    <n v="41"/>
    <x v="3"/>
    <x v="189"/>
    <n v="112"/>
    <n v="2.2999999999999998"/>
    <n v="2024"/>
    <x v="5"/>
    <x v="2"/>
    <n v="2"/>
  </r>
  <r>
    <s v="Call_7903"/>
    <x v="3"/>
    <x v="1"/>
    <n v="60"/>
    <x v="2"/>
    <x v="189"/>
    <n v="60"/>
    <n v="2.2999999999999998"/>
    <n v="2024"/>
    <x v="5"/>
    <x v="2"/>
    <n v="2"/>
  </r>
  <r>
    <s v="Call_7904"/>
    <x v="3"/>
    <x v="1"/>
    <n v="144"/>
    <x v="2"/>
    <x v="190"/>
    <n v="102"/>
    <n v="2.9"/>
    <n v="2024"/>
    <x v="6"/>
    <x v="1"/>
    <n v="3"/>
  </r>
  <r>
    <s v="Call_7905"/>
    <x v="4"/>
    <x v="0"/>
    <n v="67"/>
    <x v="2"/>
    <x v="190"/>
    <n v="38"/>
    <n v="4.2"/>
    <n v="2024"/>
    <x v="6"/>
    <x v="0"/>
    <n v="4"/>
  </r>
  <r>
    <s v="Call_7906"/>
    <x v="9"/>
    <x v="1"/>
    <n v="162"/>
    <x v="0"/>
    <x v="190"/>
    <n v="82"/>
    <n v="4.5999999999999996"/>
    <n v="2024"/>
    <x v="6"/>
    <x v="1"/>
    <n v="5"/>
  </r>
  <r>
    <s v="Call_7907"/>
    <x v="3"/>
    <x v="1"/>
    <n v="87"/>
    <x v="1"/>
    <x v="191"/>
    <n v="125"/>
    <n v="4.5"/>
    <n v="2024"/>
    <x v="2"/>
    <x v="0"/>
    <n v="5"/>
  </r>
  <r>
    <s v="Call_7908"/>
    <x v="11"/>
    <x v="2"/>
    <n v="10"/>
    <x v="4"/>
    <x v="192"/>
    <n v="72"/>
    <n v="3.7"/>
    <n v="2024"/>
    <x v="3"/>
    <x v="4"/>
    <n v="4"/>
  </r>
  <r>
    <s v="Call_7909"/>
    <x v="1"/>
    <x v="0"/>
    <n v="138"/>
    <x v="4"/>
    <x v="192"/>
    <n v="195"/>
    <n v="4.0999999999999996"/>
    <n v="2024"/>
    <x v="3"/>
    <x v="1"/>
    <n v="4"/>
  </r>
  <r>
    <s v="Call_7910"/>
    <x v="9"/>
    <x v="1"/>
    <n v="31"/>
    <x v="4"/>
    <x v="193"/>
    <n v="160"/>
    <n v="3.4"/>
    <n v="2024"/>
    <x v="4"/>
    <x v="2"/>
    <n v="3"/>
  </r>
  <r>
    <s v="Call_7911"/>
    <x v="12"/>
    <x v="0"/>
    <n v="75"/>
    <x v="0"/>
    <x v="193"/>
    <n v="78"/>
    <n v="3.3"/>
    <n v="2024"/>
    <x v="4"/>
    <x v="0"/>
    <n v="3"/>
  </r>
  <r>
    <s v="Call_7912"/>
    <x v="0"/>
    <x v="0"/>
    <n v="65"/>
    <x v="0"/>
    <x v="194"/>
    <n v="70"/>
    <n v="4.4000000000000004"/>
    <n v="2024"/>
    <x v="5"/>
    <x v="0"/>
    <n v="4"/>
  </r>
  <r>
    <s v="Call_7913"/>
    <x v="2"/>
    <x v="1"/>
    <n v="106"/>
    <x v="3"/>
    <x v="194"/>
    <n v="105"/>
    <n v="4.2"/>
    <n v="2024"/>
    <x v="5"/>
    <x v="0"/>
    <n v="4"/>
  </r>
  <r>
    <s v="Call_7914"/>
    <x v="0"/>
    <x v="0"/>
    <n v="107"/>
    <x v="3"/>
    <x v="195"/>
    <n v="78"/>
    <n v="3.4"/>
    <n v="2024"/>
    <x v="6"/>
    <x v="0"/>
    <n v="3"/>
  </r>
  <r>
    <s v="Call_7915"/>
    <x v="13"/>
    <x v="1"/>
    <n v="78"/>
    <x v="3"/>
    <x v="196"/>
    <n v="205"/>
    <n v="4.4000000000000004"/>
    <n v="2024"/>
    <x v="1"/>
    <x v="0"/>
    <n v="4"/>
  </r>
  <r>
    <s v="Call_7916"/>
    <x v="8"/>
    <x v="2"/>
    <n v="122"/>
    <x v="3"/>
    <x v="196"/>
    <n v="78"/>
    <n v="2.7"/>
    <n v="2024"/>
    <x v="1"/>
    <x v="1"/>
    <n v="3"/>
  </r>
  <r>
    <s v="Call_7917"/>
    <x v="1"/>
    <x v="0"/>
    <n v="58"/>
    <x v="4"/>
    <x v="196"/>
    <n v="38"/>
    <n v="4.5"/>
    <n v="2024"/>
    <x v="1"/>
    <x v="2"/>
    <n v="5"/>
  </r>
  <r>
    <s v="Call_7918"/>
    <x v="13"/>
    <x v="1"/>
    <n v="33"/>
    <x v="2"/>
    <x v="196"/>
    <n v="92"/>
    <n v="1.7"/>
    <n v="2024"/>
    <x v="1"/>
    <x v="2"/>
    <n v="2"/>
  </r>
  <r>
    <s v="Call_7919"/>
    <x v="14"/>
    <x v="2"/>
    <n v="164"/>
    <x v="0"/>
    <x v="196"/>
    <n v="36"/>
    <n v="4.7"/>
    <n v="2024"/>
    <x v="1"/>
    <x v="1"/>
    <n v="5"/>
  </r>
  <r>
    <s v="Call_7920"/>
    <x v="12"/>
    <x v="0"/>
    <n v="163"/>
    <x v="1"/>
    <x v="196"/>
    <n v="76"/>
    <n v="4.4000000000000004"/>
    <n v="2024"/>
    <x v="1"/>
    <x v="1"/>
    <n v="4"/>
  </r>
  <r>
    <s v="Call_7921"/>
    <x v="5"/>
    <x v="2"/>
    <n v="71"/>
    <x v="0"/>
    <x v="197"/>
    <n v="170"/>
    <n v="3.5"/>
    <n v="2024"/>
    <x v="3"/>
    <x v="0"/>
    <n v="4"/>
  </r>
  <r>
    <s v="Call_7922"/>
    <x v="13"/>
    <x v="1"/>
    <n v="103"/>
    <x v="4"/>
    <x v="198"/>
    <n v="117"/>
    <n v="4.7"/>
    <n v="2024"/>
    <x v="4"/>
    <x v="0"/>
    <n v="5"/>
  </r>
  <r>
    <s v="Call_7923"/>
    <x v="10"/>
    <x v="1"/>
    <n v="69"/>
    <x v="1"/>
    <x v="198"/>
    <n v="20"/>
    <n v="4.3"/>
    <n v="2024"/>
    <x v="4"/>
    <x v="0"/>
    <n v="4"/>
  </r>
  <r>
    <s v="Call_7924"/>
    <x v="12"/>
    <x v="0"/>
    <n v="111"/>
    <x v="4"/>
    <x v="198"/>
    <n v="99"/>
    <n v="4.0999999999999996"/>
    <n v="2024"/>
    <x v="4"/>
    <x v="0"/>
    <n v="4"/>
  </r>
  <r>
    <s v="Call_7925"/>
    <x v="6"/>
    <x v="2"/>
    <n v="97"/>
    <x v="1"/>
    <x v="199"/>
    <n v="105"/>
    <n v="2.9"/>
    <n v="2024"/>
    <x v="5"/>
    <x v="0"/>
    <n v="3"/>
  </r>
  <r>
    <s v="Call_7926"/>
    <x v="7"/>
    <x v="2"/>
    <n v="144"/>
    <x v="3"/>
    <x v="199"/>
    <n v="195"/>
    <n v="3.4"/>
    <n v="2024"/>
    <x v="5"/>
    <x v="1"/>
    <n v="3"/>
  </r>
  <r>
    <s v="Call_7927"/>
    <x v="2"/>
    <x v="1"/>
    <n v="56"/>
    <x v="1"/>
    <x v="200"/>
    <n v="152"/>
    <n v="4.5999999999999996"/>
    <n v="2024"/>
    <x v="6"/>
    <x v="2"/>
    <n v="5"/>
  </r>
  <r>
    <s v="Call_7928"/>
    <x v="7"/>
    <x v="2"/>
    <n v="132"/>
    <x v="3"/>
    <x v="201"/>
    <n v="195"/>
    <n v="4.9000000000000004"/>
    <n v="2024"/>
    <x v="0"/>
    <x v="1"/>
    <n v="5"/>
  </r>
  <r>
    <s v="Call_7929"/>
    <x v="5"/>
    <x v="2"/>
    <n v="72"/>
    <x v="2"/>
    <x v="201"/>
    <n v="70"/>
    <n v="3.6"/>
    <n v="2024"/>
    <x v="0"/>
    <x v="0"/>
    <n v="4"/>
  </r>
  <r>
    <s v="Call_7930"/>
    <x v="12"/>
    <x v="0"/>
    <n v="18"/>
    <x v="2"/>
    <x v="201"/>
    <n v="22"/>
    <n v="3.5"/>
    <n v="2024"/>
    <x v="0"/>
    <x v="3"/>
    <n v="4"/>
  </r>
  <r>
    <s v="Call_7931"/>
    <x v="4"/>
    <x v="0"/>
    <n v="115"/>
    <x v="4"/>
    <x v="202"/>
    <n v="40"/>
    <n v="3.3"/>
    <n v="2024"/>
    <x v="1"/>
    <x v="0"/>
    <n v="3"/>
  </r>
  <r>
    <s v="Call_7932"/>
    <x v="4"/>
    <x v="0"/>
    <n v="124"/>
    <x v="1"/>
    <x v="203"/>
    <n v="54"/>
    <n v="3.8"/>
    <n v="2024"/>
    <x v="2"/>
    <x v="1"/>
    <n v="4"/>
  </r>
  <r>
    <s v="Call_7933"/>
    <x v="1"/>
    <x v="0"/>
    <n v="130"/>
    <x v="1"/>
    <x v="203"/>
    <n v="60"/>
    <n v="2.5"/>
    <n v="2024"/>
    <x v="2"/>
    <x v="1"/>
    <n v="3"/>
  </r>
  <r>
    <s v="Call_7934"/>
    <x v="11"/>
    <x v="2"/>
    <n v="120"/>
    <x v="0"/>
    <x v="204"/>
    <n v="58"/>
    <n v="4.5999999999999996"/>
    <n v="2024"/>
    <x v="4"/>
    <x v="0"/>
    <n v="5"/>
  </r>
  <r>
    <s v="Call_7935"/>
    <x v="6"/>
    <x v="2"/>
    <n v="75"/>
    <x v="4"/>
    <x v="204"/>
    <n v="220"/>
    <n v="4.7"/>
    <n v="2024"/>
    <x v="4"/>
    <x v="0"/>
    <n v="5"/>
  </r>
  <r>
    <s v="Call_7936"/>
    <x v="0"/>
    <x v="0"/>
    <n v="63"/>
    <x v="4"/>
    <x v="204"/>
    <n v="27"/>
    <n v="3.6"/>
    <n v="2024"/>
    <x v="4"/>
    <x v="0"/>
    <n v="4"/>
  </r>
  <r>
    <s v="Call_7937"/>
    <x v="7"/>
    <x v="2"/>
    <n v="74"/>
    <x v="4"/>
    <x v="205"/>
    <n v="26"/>
    <n v="4.3"/>
    <n v="2024"/>
    <x v="6"/>
    <x v="0"/>
    <n v="4"/>
  </r>
  <r>
    <s v="Call_7938"/>
    <x v="10"/>
    <x v="1"/>
    <n v="134"/>
    <x v="3"/>
    <x v="206"/>
    <n v="160"/>
    <n v="4.7"/>
    <n v="2024"/>
    <x v="0"/>
    <x v="1"/>
    <n v="5"/>
  </r>
  <r>
    <s v="Call_7939"/>
    <x v="12"/>
    <x v="0"/>
    <n v="103"/>
    <x v="1"/>
    <x v="206"/>
    <n v="200"/>
    <n v="4.9000000000000004"/>
    <n v="2024"/>
    <x v="0"/>
    <x v="0"/>
    <n v="5"/>
  </r>
  <r>
    <s v="Call_7940"/>
    <x v="12"/>
    <x v="0"/>
    <n v="155"/>
    <x v="0"/>
    <x v="207"/>
    <n v="135"/>
    <n v="4.9000000000000004"/>
    <n v="2024"/>
    <x v="3"/>
    <x v="1"/>
    <n v="5"/>
  </r>
  <r>
    <s v="Call_7941"/>
    <x v="0"/>
    <x v="0"/>
    <n v="128"/>
    <x v="1"/>
    <x v="208"/>
    <n v="22"/>
    <n v="1.9"/>
    <n v="2024"/>
    <x v="4"/>
    <x v="1"/>
    <n v="2"/>
  </r>
  <r>
    <s v="Call_7942"/>
    <x v="6"/>
    <x v="2"/>
    <n v="89"/>
    <x v="3"/>
    <x v="209"/>
    <n v="164"/>
    <n v="4.5"/>
    <n v="2024"/>
    <x v="5"/>
    <x v="0"/>
    <n v="5"/>
  </r>
  <r>
    <s v="Call_7943"/>
    <x v="4"/>
    <x v="0"/>
    <n v="81"/>
    <x v="0"/>
    <x v="209"/>
    <n v="21"/>
    <n v="4.9000000000000004"/>
    <n v="2024"/>
    <x v="5"/>
    <x v="0"/>
    <n v="5"/>
  </r>
  <r>
    <s v="Call_7944"/>
    <x v="6"/>
    <x v="2"/>
    <n v="66"/>
    <x v="3"/>
    <x v="210"/>
    <n v="120"/>
    <n v="4.5"/>
    <n v="2024"/>
    <x v="6"/>
    <x v="0"/>
    <n v="5"/>
  </r>
  <r>
    <s v="Call_7945"/>
    <x v="5"/>
    <x v="2"/>
    <n v="61"/>
    <x v="2"/>
    <x v="210"/>
    <n v="93"/>
    <n v="2.7"/>
    <n v="2024"/>
    <x v="6"/>
    <x v="0"/>
    <n v="3"/>
  </r>
  <r>
    <s v="Call_7946"/>
    <x v="4"/>
    <x v="0"/>
    <n v="128"/>
    <x v="2"/>
    <x v="210"/>
    <n v="135"/>
    <n v="2.1"/>
    <n v="2024"/>
    <x v="6"/>
    <x v="1"/>
    <n v="2"/>
  </r>
  <r>
    <s v="Call_7947"/>
    <x v="12"/>
    <x v="0"/>
    <n v="30"/>
    <x v="0"/>
    <x v="210"/>
    <n v="210"/>
    <n v="4.2"/>
    <n v="2024"/>
    <x v="6"/>
    <x v="3"/>
    <n v="4"/>
  </r>
  <r>
    <s v="Call_7948"/>
    <x v="14"/>
    <x v="2"/>
    <n v="63"/>
    <x v="2"/>
    <x v="211"/>
    <n v="29"/>
    <n v="4.7"/>
    <n v="2024"/>
    <x v="0"/>
    <x v="0"/>
    <n v="5"/>
  </r>
  <r>
    <s v="Call_7949"/>
    <x v="8"/>
    <x v="2"/>
    <n v="64"/>
    <x v="4"/>
    <x v="211"/>
    <n v="111"/>
    <n v="3.9"/>
    <n v="2024"/>
    <x v="0"/>
    <x v="0"/>
    <n v="4"/>
  </r>
  <r>
    <s v="Call_7950"/>
    <x v="3"/>
    <x v="1"/>
    <n v="151"/>
    <x v="1"/>
    <x v="212"/>
    <n v="63"/>
    <n v="4.0999999999999996"/>
    <n v="2024"/>
    <x v="1"/>
    <x v="1"/>
    <n v="4"/>
  </r>
  <r>
    <s v="Call_7951"/>
    <x v="13"/>
    <x v="1"/>
    <n v="116"/>
    <x v="3"/>
    <x v="212"/>
    <n v="44"/>
    <n v="3.8"/>
    <n v="2024"/>
    <x v="1"/>
    <x v="0"/>
    <n v="4"/>
  </r>
  <r>
    <s v="Call_7952"/>
    <x v="3"/>
    <x v="1"/>
    <n v="111"/>
    <x v="3"/>
    <x v="213"/>
    <n v="120"/>
    <n v="1.8"/>
    <n v="2024"/>
    <x v="3"/>
    <x v="0"/>
    <n v="2"/>
  </r>
  <r>
    <s v="Call_7953"/>
    <x v="4"/>
    <x v="0"/>
    <n v="15"/>
    <x v="3"/>
    <x v="213"/>
    <n v="120"/>
    <n v="4.0999999999999996"/>
    <n v="2024"/>
    <x v="3"/>
    <x v="3"/>
    <n v="4"/>
  </r>
  <r>
    <s v="Call_7954"/>
    <x v="8"/>
    <x v="2"/>
    <n v="18"/>
    <x v="1"/>
    <x v="214"/>
    <n v="40"/>
    <n v="4.4000000000000004"/>
    <n v="2024"/>
    <x v="4"/>
    <x v="3"/>
    <n v="4"/>
  </r>
  <r>
    <s v="Call_7955"/>
    <x v="5"/>
    <x v="2"/>
    <n v="146"/>
    <x v="2"/>
    <x v="214"/>
    <n v="160"/>
    <n v="4.0999999999999996"/>
    <n v="2024"/>
    <x v="4"/>
    <x v="1"/>
    <n v="4"/>
  </r>
  <r>
    <s v="Call_7956"/>
    <x v="12"/>
    <x v="0"/>
    <n v="73"/>
    <x v="3"/>
    <x v="215"/>
    <n v="44"/>
    <n v="3.8"/>
    <n v="2024"/>
    <x v="5"/>
    <x v="0"/>
    <n v="4"/>
  </r>
  <r>
    <s v="Call_7957"/>
    <x v="3"/>
    <x v="1"/>
    <n v="108"/>
    <x v="1"/>
    <x v="215"/>
    <n v="80"/>
    <n v="4.3"/>
    <n v="2024"/>
    <x v="5"/>
    <x v="0"/>
    <n v="4"/>
  </r>
  <r>
    <s v="Call_7958"/>
    <x v="10"/>
    <x v="1"/>
    <n v="52"/>
    <x v="1"/>
    <x v="216"/>
    <n v="66"/>
    <n v="4.5"/>
    <n v="2024"/>
    <x v="6"/>
    <x v="2"/>
    <n v="5"/>
  </r>
  <r>
    <s v="Call_7959"/>
    <x v="13"/>
    <x v="1"/>
    <n v="165"/>
    <x v="4"/>
    <x v="216"/>
    <n v="82"/>
    <n v="3.4"/>
    <n v="2024"/>
    <x v="6"/>
    <x v="1"/>
    <n v="3"/>
  </r>
  <r>
    <s v="Call_7960"/>
    <x v="5"/>
    <x v="2"/>
    <n v="104"/>
    <x v="3"/>
    <x v="216"/>
    <n v="66"/>
    <n v="4.8"/>
    <n v="2024"/>
    <x v="6"/>
    <x v="0"/>
    <n v="5"/>
  </r>
  <r>
    <s v="Call_7961"/>
    <x v="12"/>
    <x v="0"/>
    <n v="131"/>
    <x v="2"/>
    <x v="216"/>
    <n v="92"/>
    <n v="4.9000000000000004"/>
    <n v="2024"/>
    <x v="6"/>
    <x v="1"/>
    <n v="5"/>
  </r>
  <r>
    <s v="Call_7962"/>
    <x v="11"/>
    <x v="2"/>
    <n v="80"/>
    <x v="4"/>
    <x v="217"/>
    <n v="104"/>
    <n v="4.7"/>
    <n v="2024"/>
    <x v="0"/>
    <x v="0"/>
    <n v="5"/>
  </r>
  <r>
    <s v="Call_7963"/>
    <x v="4"/>
    <x v="0"/>
    <n v="49"/>
    <x v="3"/>
    <x v="217"/>
    <n v="105"/>
    <n v="3.3"/>
    <n v="2024"/>
    <x v="0"/>
    <x v="2"/>
    <n v="3"/>
  </r>
  <r>
    <s v="Call_7964"/>
    <x v="13"/>
    <x v="1"/>
    <n v="73"/>
    <x v="3"/>
    <x v="217"/>
    <n v="100"/>
    <n v="2.8"/>
    <n v="2024"/>
    <x v="0"/>
    <x v="0"/>
    <n v="3"/>
  </r>
  <r>
    <s v="Call_7965"/>
    <x v="5"/>
    <x v="2"/>
    <n v="117"/>
    <x v="4"/>
    <x v="217"/>
    <n v="90"/>
    <n v="4.0999999999999996"/>
    <n v="2024"/>
    <x v="0"/>
    <x v="0"/>
    <n v="4"/>
  </r>
  <r>
    <s v="Call_7966"/>
    <x v="2"/>
    <x v="1"/>
    <n v="38"/>
    <x v="0"/>
    <x v="217"/>
    <n v="110"/>
    <n v="3.5"/>
    <n v="2024"/>
    <x v="0"/>
    <x v="2"/>
    <n v="4"/>
  </r>
  <r>
    <s v="Call_7967"/>
    <x v="10"/>
    <x v="1"/>
    <n v="109"/>
    <x v="4"/>
    <x v="218"/>
    <n v="68"/>
    <n v="2.2999999999999998"/>
    <n v="2024"/>
    <x v="2"/>
    <x v="0"/>
    <n v="2"/>
  </r>
  <r>
    <s v="Call_7968"/>
    <x v="4"/>
    <x v="0"/>
    <n v="70"/>
    <x v="1"/>
    <x v="219"/>
    <n v="210"/>
    <n v="4.0999999999999996"/>
    <n v="2024"/>
    <x v="3"/>
    <x v="0"/>
    <n v="4"/>
  </r>
  <r>
    <s v="Call_7969"/>
    <x v="1"/>
    <x v="0"/>
    <n v="51"/>
    <x v="0"/>
    <x v="219"/>
    <n v="111"/>
    <n v="4.3"/>
    <n v="2024"/>
    <x v="3"/>
    <x v="2"/>
    <n v="4"/>
  </r>
  <r>
    <s v="Call_7970"/>
    <x v="1"/>
    <x v="0"/>
    <n v="100"/>
    <x v="1"/>
    <x v="220"/>
    <n v="45"/>
    <n v="4.9000000000000004"/>
    <n v="2024"/>
    <x v="4"/>
    <x v="0"/>
    <n v="5"/>
  </r>
  <r>
    <s v="Call_7971"/>
    <x v="7"/>
    <x v="2"/>
    <n v="124"/>
    <x v="0"/>
    <x v="221"/>
    <n v="132"/>
    <n v="4"/>
    <n v="2024"/>
    <x v="5"/>
    <x v="1"/>
    <n v="4"/>
  </r>
  <r>
    <s v="Call_7972"/>
    <x v="0"/>
    <x v="0"/>
    <n v="143"/>
    <x v="4"/>
    <x v="221"/>
    <n v="20"/>
    <n v="4.7"/>
    <n v="2024"/>
    <x v="5"/>
    <x v="1"/>
    <n v="5"/>
  </r>
  <r>
    <s v="Call_7973"/>
    <x v="6"/>
    <x v="2"/>
    <n v="96"/>
    <x v="3"/>
    <x v="221"/>
    <n v="36"/>
    <n v="3.4"/>
    <n v="2024"/>
    <x v="5"/>
    <x v="0"/>
    <n v="3"/>
  </r>
  <r>
    <s v="Call_7974"/>
    <x v="13"/>
    <x v="1"/>
    <n v="84"/>
    <x v="1"/>
    <x v="222"/>
    <n v="72"/>
    <n v="4"/>
    <n v="2024"/>
    <x v="0"/>
    <x v="0"/>
    <n v="4"/>
  </r>
  <r>
    <s v="Call_7975"/>
    <x v="9"/>
    <x v="1"/>
    <n v="111"/>
    <x v="1"/>
    <x v="222"/>
    <n v="63"/>
    <n v="4.5"/>
    <n v="2024"/>
    <x v="0"/>
    <x v="0"/>
    <n v="5"/>
  </r>
  <r>
    <s v="Call_7976"/>
    <x v="9"/>
    <x v="1"/>
    <n v="103"/>
    <x v="0"/>
    <x v="223"/>
    <n v="44"/>
    <n v="4.5"/>
    <n v="2024"/>
    <x v="1"/>
    <x v="0"/>
    <n v="5"/>
  </r>
  <r>
    <s v="Call_7977"/>
    <x v="0"/>
    <x v="0"/>
    <n v="61"/>
    <x v="2"/>
    <x v="223"/>
    <n v="132"/>
    <n v="4.9000000000000004"/>
    <n v="2024"/>
    <x v="1"/>
    <x v="0"/>
    <n v="5"/>
  </r>
  <r>
    <s v="Call_7978"/>
    <x v="12"/>
    <x v="0"/>
    <n v="113"/>
    <x v="3"/>
    <x v="223"/>
    <n v="46"/>
    <n v="4.4000000000000004"/>
    <n v="2024"/>
    <x v="1"/>
    <x v="0"/>
    <n v="4"/>
  </r>
  <r>
    <s v="Call_7979"/>
    <x v="12"/>
    <x v="0"/>
    <n v="96"/>
    <x v="3"/>
    <x v="223"/>
    <n v="96"/>
    <n v="2.9"/>
    <n v="2024"/>
    <x v="1"/>
    <x v="0"/>
    <n v="3"/>
  </r>
  <r>
    <s v="Call_7980"/>
    <x v="8"/>
    <x v="2"/>
    <n v="131"/>
    <x v="0"/>
    <x v="224"/>
    <n v="75"/>
    <n v="4.4000000000000004"/>
    <n v="2024"/>
    <x v="2"/>
    <x v="1"/>
    <n v="4"/>
  </r>
  <r>
    <s v="Call_7981"/>
    <x v="5"/>
    <x v="2"/>
    <n v="52"/>
    <x v="3"/>
    <x v="225"/>
    <n v="88"/>
    <n v="4.3"/>
    <n v="2024"/>
    <x v="3"/>
    <x v="2"/>
    <n v="4"/>
  </r>
  <r>
    <s v="Call_7982"/>
    <x v="1"/>
    <x v="0"/>
    <n v="100"/>
    <x v="0"/>
    <x v="225"/>
    <n v="24"/>
    <n v="4.7"/>
    <n v="2024"/>
    <x v="3"/>
    <x v="0"/>
    <n v="5"/>
  </r>
  <r>
    <s v="Call_7983"/>
    <x v="3"/>
    <x v="1"/>
    <n v="58"/>
    <x v="4"/>
    <x v="225"/>
    <n v="96"/>
    <n v="3.2"/>
    <n v="2024"/>
    <x v="3"/>
    <x v="2"/>
    <n v="3"/>
  </r>
  <r>
    <s v="Call_7984"/>
    <x v="4"/>
    <x v="0"/>
    <n v="144"/>
    <x v="4"/>
    <x v="226"/>
    <n v="124"/>
    <n v="2.2999999999999998"/>
    <n v="2024"/>
    <x v="4"/>
    <x v="1"/>
    <n v="2"/>
  </r>
  <r>
    <s v="Call_7985"/>
    <x v="3"/>
    <x v="1"/>
    <n v="53"/>
    <x v="2"/>
    <x v="227"/>
    <n v="130"/>
    <n v="3.6"/>
    <n v="2024"/>
    <x v="5"/>
    <x v="2"/>
    <n v="4"/>
  </r>
  <r>
    <s v="Call_7986"/>
    <x v="12"/>
    <x v="0"/>
    <n v="97"/>
    <x v="1"/>
    <x v="227"/>
    <n v="45"/>
    <n v="4.5999999999999996"/>
    <n v="2024"/>
    <x v="5"/>
    <x v="0"/>
    <n v="5"/>
  </r>
  <r>
    <s v="Call_7987"/>
    <x v="2"/>
    <x v="1"/>
    <n v="64"/>
    <x v="4"/>
    <x v="227"/>
    <n v="66"/>
    <n v="4"/>
    <n v="2024"/>
    <x v="5"/>
    <x v="0"/>
    <n v="4"/>
  </r>
  <r>
    <s v="Call_7988"/>
    <x v="0"/>
    <x v="0"/>
    <n v="106"/>
    <x v="0"/>
    <x v="227"/>
    <n v="58"/>
    <n v="4.7"/>
    <n v="2024"/>
    <x v="5"/>
    <x v="0"/>
    <n v="5"/>
  </r>
  <r>
    <s v="Call_7989"/>
    <x v="13"/>
    <x v="1"/>
    <n v="36"/>
    <x v="4"/>
    <x v="228"/>
    <n v="152"/>
    <n v="4.3"/>
    <n v="2024"/>
    <x v="6"/>
    <x v="2"/>
    <n v="4"/>
  </r>
  <r>
    <s v="Call_7990"/>
    <x v="4"/>
    <x v="0"/>
    <n v="74"/>
    <x v="3"/>
    <x v="228"/>
    <n v="75"/>
    <n v="2.8"/>
    <n v="2024"/>
    <x v="6"/>
    <x v="0"/>
    <n v="3"/>
  </r>
  <r>
    <s v="Call_7991"/>
    <x v="10"/>
    <x v="1"/>
    <n v="143"/>
    <x v="1"/>
    <x v="228"/>
    <n v="78"/>
    <n v="4"/>
    <n v="2024"/>
    <x v="6"/>
    <x v="1"/>
    <n v="4"/>
  </r>
  <r>
    <s v="Call_7992"/>
    <x v="0"/>
    <x v="0"/>
    <n v="94"/>
    <x v="2"/>
    <x v="228"/>
    <n v="69"/>
    <n v="3.9"/>
    <n v="2024"/>
    <x v="6"/>
    <x v="0"/>
    <n v="4"/>
  </r>
  <r>
    <s v="Call_7993"/>
    <x v="11"/>
    <x v="2"/>
    <n v="124"/>
    <x v="0"/>
    <x v="229"/>
    <n v="46"/>
    <n v="3.1"/>
    <n v="2024"/>
    <x v="0"/>
    <x v="1"/>
    <n v="3"/>
  </r>
  <r>
    <s v="Call_7994"/>
    <x v="13"/>
    <x v="1"/>
    <n v="156"/>
    <x v="4"/>
    <x v="229"/>
    <n v="64"/>
    <n v="2.7"/>
    <n v="2024"/>
    <x v="0"/>
    <x v="1"/>
    <n v="3"/>
  </r>
  <r>
    <s v="Call_7995"/>
    <x v="6"/>
    <x v="2"/>
    <n v="107"/>
    <x v="1"/>
    <x v="229"/>
    <n v="38"/>
    <n v="4.7"/>
    <n v="2024"/>
    <x v="0"/>
    <x v="0"/>
    <n v="5"/>
  </r>
  <r>
    <s v="Call_7996"/>
    <x v="0"/>
    <x v="0"/>
    <n v="58"/>
    <x v="1"/>
    <x v="230"/>
    <n v="90"/>
    <n v="4.3"/>
    <n v="2024"/>
    <x v="2"/>
    <x v="2"/>
    <n v="4"/>
  </r>
  <r>
    <s v="Call_7997"/>
    <x v="7"/>
    <x v="2"/>
    <n v="66"/>
    <x v="1"/>
    <x v="230"/>
    <n v="32"/>
    <n v="3.8"/>
    <n v="2024"/>
    <x v="2"/>
    <x v="0"/>
    <n v="4"/>
  </r>
  <r>
    <s v="Call_7998"/>
    <x v="8"/>
    <x v="2"/>
    <n v="75"/>
    <x v="4"/>
    <x v="230"/>
    <n v="120"/>
    <n v="4.4000000000000004"/>
    <n v="2024"/>
    <x v="2"/>
    <x v="0"/>
    <n v="4"/>
  </r>
  <r>
    <s v="Call_7999"/>
    <x v="6"/>
    <x v="2"/>
    <n v="8"/>
    <x v="1"/>
    <x v="230"/>
    <n v="31"/>
    <n v="3.9"/>
    <n v="2024"/>
    <x v="2"/>
    <x v="4"/>
    <n v="4"/>
  </r>
  <r>
    <s v="Call_8000"/>
    <x v="2"/>
    <x v="1"/>
    <n v="76"/>
    <x v="4"/>
    <x v="231"/>
    <n v="108"/>
    <n v="4.9000000000000004"/>
    <n v="2024"/>
    <x v="3"/>
    <x v="0"/>
    <n v="5"/>
  </r>
  <r>
    <s v="Call_8001"/>
    <x v="0"/>
    <x v="0"/>
    <n v="110"/>
    <x v="4"/>
    <x v="231"/>
    <n v="180"/>
    <n v="4.2"/>
    <n v="2024"/>
    <x v="3"/>
    <x v="0"/>
    <n v="4"/>
  </r>
  <r>
    <s v="Call_8002"/>
    <x v="7"/>
    <x v="2"/>
    <n v="50"/>
    <x v="2"/>
    <x v="232"/>
    <n v="124"/>
    <n v="4"/>
    <n v="2024"/>
    <x v="4"/>
    <x v="2"/>
    <n v="4"/>
  </r>
  <r>
    <s v="Call_8003"/>
    <x v="5"/>
    <x v="2"/>
    <n v="78"/>
    <x v="2"/>
    <x v="232"/>
    <n v="23"/>
    <n v="4.2"/>
    <n v="2024"/>
    <x v="4"/>
    <x v="0"/>
    <n v="4"/>
  </r>
  <r>
    <s v="Call_8004"/>
    <x v="12"/>
    <x v="0"/>
    <n v="59"/>
    <x v="0"/>
    <x v="233"/>
    <n v="24"/>
    <n v="4.8"/>
    <n v="2024"/>
    <x v="5"/>
    <x v="2"/>
    <n v="5"/>
  </r>
  <r>
    <s v="Call_8005"/>
    <x v="5"/>
    <x v="2"/>
    <n v="126"/>
    <x v="1"/>
    <x v="234"/>
    <n v="52"/>
    <n v="1.1000000000000001"/>
    <n v="2024"/>
    <x v="6"/>
    <x v="1"/>
    <n v="1"/>
  </r>
  <r>
    <s v="Call_8006"/>
    <x v="2"/>
    <x v="1"/>
    <n v="43"/>
    <x v="0"/>
    <x v="235"/>
    <n v="168"/>
    <n v="4"/>
    <n v="2024"/>
    <x v="0"/>
    <x v="2"/>
    <n v="4"/>
  </r>
  <r>
    <s v="Call_8007"/>
    <x v="13"/>
    <x v="1"/>
    <n v="79"/>
    <x v="4"/>
    <x v="236"/>
    <n v="125"/>
    <n v="4.8"/>
    <n v="2024"/>
    <x v="2"/>
    <x v="0"/>
    <n v="5"/>
  </r>
  <r>
    <s v="Call_8008"/>
    <x v="0"/>
    <x v="0"/>
    <n v="71"/>
    <x v="0"/>
    <x v="237"/>
    <n v="50"/>
    <n v="4.2"/>
    <n v="2024"/>
    <x v="3"/>
    <x v="0"/>
    <n v="4"/>
  </r>
  <r>
    <s v="Call_8009"/>
    <x v="9"/>
    <x v="1"/>
    <n v="94"/>
    <x v="1"/>
    <x v="238"/>
    <n v="220"/>
    <n v="4.5999999999999996"/>
    <n v="2024"/>
    <x v="4"/>
    <x v="0"/>
    <n v="5"/>
  </r>
  <r>
    <s v="Call_8010"/>
    <x v="6"/>
    <x v="2"/>
    <n v="108"/>
    <x v="0"/>
    <x v="238"/>
    <n v="180"/>
    <n v="4"/>
    <n v="2024"/>
    <x v="4"/>
    <x v="0"/>
    <n v="4"/>
  </r>
  <r>
    <s v="Call_8011"/>
    <x v="2"/>
    <x v="1"/>
    <n v="76"/>
    <x v="1"/>
    <x v="238"/>
    <n v="110"/>
    <n v="3.9"/>
    <n v="2024"/>
    <x v="4"/>
    <x v="0"/>
    <n v="4"/>
  </r>
  <r>
    <s v="Call_8012"/>
    <x v="12"/>
    <x v="0"/>
    <n v="136"/>
    <x v="0"/>
    <x v="238"/>
    <n v="36"/>
    <n v="2.8"/>
    <n v="2024"/>
    <x v="4"/>
    <x v="1"/>
    <n v="3"/>
  </r>
  <r>
    <s v="Call_8013"/>
    <x v="1"/>
    <x v="0"/>
    <n v="129"/>
    <x v="2"/>
    <x v="239"/>
    <n v="93"/>
    <n v="4.7"/>
    <n v="2024"/>
    <x v="5"/>
    <x v="1"/>
    <n v="5"/>
  </r>
  <r>
    <s v="Call_8014"/>
    <x v="6"/>
    <x v="2"/>
    <n v="120"/>
    <x v="0"/>
    <x v="239"/>
    <n v="38"/>
    <n v="4.2"/>
    <n v="2024"/>
    <x v="5"/>
    <x v="0"/>
    <n v="4"/>
  </r>
  <r>
    <s v="Call_8015"/>
    <x v="2"/>
    <x v="1"/>
    <n v="108"/>
    <x v="2"/>
    <x v="240"/>
    <n v="66"/>
    <n v="3.9"/>
    <n v="2024"/>
    <x v="6"/>
    <x v="0"/>
    <n v="4"/>
  </r>
  <r>
    <s v="Call_8016"/>
    <x v="5"/>
    <x v="2"/>
    <n v="79"/>
    <x v="0"/>
    <x v="240"/>
    <n v="215"/>
    <n v="4.5999999999999996"/>
    <n v="2024"/>
    <x v="6"/>
    <x v="0"/>
    <n v="5"/>
  </r>
  <r>
    <s v="Call_8017"/>
    <x v="5"/>
    <x v="2"/>
    <n v="45"/>
    <x v="2"/>
    <x v="240"/>
    <n v="92"/>
    <n v="4.3"/>
    <n v="2024"/>
    <x v="6"/>
    <x v="2"/>
    <n v="4"/>
  </r>
  <r>
    <s v="Call_8018"/>
    <x v="4"/>
    <x v="0"/>
    <n v="96"/>
    <x v="0"/>
    <x v="240"/>
    <n v="80"/>
    <n v="3.6"/>
    <n v="2024"/>
    <x v="6"/>
    <x v="0"/>
    <n v="4"/>
  </r>
  <r>
    <s v="Call_8019"/>
    <x v="4"/>
    <x v="0"/>
    <n v="81"/>
    <x v="0"/>
    <x v="241"/>
    <n v="123"/>
    <n v="4.9000000000000004"/>
    <n v="2024"/>
    <x v="0"/>
    <x v="0"/>
    <n v="5"/>
  </r>
  <r>
    <s v="Call_8020"/>
    <x v="12"/>
    <x v="0"/>
    <n v="95"/>
    <x v="3"/>
    <x v="241"/>
    <n v="23"/>
    <n v="2.4"/>
    <n v="2024"/>
    <x v="0"/>
    <x v="0"/>
    <n v="2"/>
  </r>
  <r>
    <s v="Call_8021"/>
    <x v="11"/>
    <x v="2"/>
    <n v="159"/>
    <x v="1"/>
    <x v="241"/>
    <n v="63"/>
    <n v="4.2"/>
    <n v="2024"/>
    <x v="0"/>
    <x v="1"/>
    <n v="4"/>
  </r>
  <r>
    <s v="Call_8022"/>
    <x v="14"/>
    <x v="2"/>
    <n v="109"/>
    <x v="4"/>
    <x v="241"/>
    <n v="52"/>
    <n v="3.9"/>
    <n v="2024"/>
    <x v="0"/>
    <x v="0"/>
    <n v="4"/>
  </r>
  <r>
    <s v="Call_8023"/>
    <x v="5"/>
    <x v="2"/>
    <n v="107"/>
    <x v="4"/>
    <x v="241"/>
    <n v="60"/>
    <n v="4.2"/>
    <n v="2024"/>
    <x v="0"/>
    <x v="0"/>
    <n v="4"/>
  </r>
  <r>
    <s v="Call_8024"/>
    <x v="4"/>
    <x v="0"/>
    <n v="67"/>
    <x v="2"/>
    <x v="242"/>
    <n v="87"/>
    <n v="3.9"/>
    <n v="2024"/>
    <x v="1"/>
    <x v="0"/>
    <n v="4"/>
  </r>
  <r>
    <s v="Call_8025"/>
    <x v="8"/>
    <x v="2"/>
    <n v="96"/>
    <x v="0"/>
    <x v="243"/>
    <n v="42"/>
    <n v="4.5"/>
    <n v="2024"/>
    <x v="2"/>
    <x v="0"/>
    <n v="5"/>
  </r>
  <r>
    <s v="Call_8026"/>
    <x v="10"/>
    <x v="1"/>
    <n v="142"/>
    <x v="1"/>
    <x v="244"/>
    <n v="37"/>
    <n v="3.8"/>
    <n v="2024"/>
    <x v="3"/>
    <x v="1"/>
    <n v="4"/>
  </r>
  <r>
    <s v="Call_8027"/>
    <x v="10"/>
    <x v="1"/>
    <n v="71"/>
    <x v="3"/>
    <x v="244"/>
    <n v="135"/>
    <n v="3.9"/>
    <n v="2024"/>
    <x v="3"/>
    <x v="0"/>
    <n v="4"/>
  </r>
  <r>
    <s v="Call_8028"/>
    <x v="8"/>
    <x v="2"/>
    <n v="152"/>
    <x v="3"/>
    <x v="244"/>
    <n v="88"/>
    <n v="4.7"/>
    <n v="2024"/>
    <x v="3"/>
    <x v="1"/>
    <n v="5"/>
  </r>
  <r>
    <s v="Call_8029"/>
    <x v="13"/>
    <x v="1"/>
    <n v="108"/>
    <x v="1"/>
    <x v="244"/>
    <n v="190"/>
    <n v="3.2"/>
    <n v="2024"/>
    <x v="3"/>
    <x v="0"/>
    <n v="3"/>
  </r>
  <r>
    <s v="Call_8030"/>
    <x v="13"/>
    <x v="1"/>
    <n v="156"/>
    <x v="3"/>
    <x v="244"/>
    <n v="81"/>
    <n v="5"/>
    <n v="2024"/>
    <x v="3"/>
    <x v="1"/>
    <n v="5"/>
  </r>
  <r>
    <s v="Call_8031"/>
    <x v="10"/>
    <x v="1"/>
    <n v="126"/>
    <x v="1"/>
    <x v="244"/>
    <n v="44"/>
    <n v="3.7"/>
    <n v="2024"/>
    <x v="3"/>
    <x v="1"/>
    <n v="4"/>
  </r>
  <r>
    <s v="Call_8032"/>
    <x v="2"/>
    <x v="1"/>
    <n v="135"/>
    <x v="3"/>
    <x v="245"/>
    <n v="92"/>
    <n v="3.9"/>
    <n v="2024"/>
    <x v="4"/>
    <x v="1"/>
    <n v="4"/>
  </r>
  <r>
    <s v="Call_8033"/>
    <x v="10"/>
    <x v="1"/>
    <n v="110"/>
    <x v="0"/>
    <x v="246"/>
    <n v="90"/>
    <n v="3.1"/>
    <n v="2024"/>
    <x v="5"/>
    <x v="0"/>
    <n v="3"/>
  </r>
  <r>
    <s v="Call_8034"/>
    <x v="11"/>
    <x v="2"/>
    <n v="64"/>
    <x v="3"/>
    <x v="246"/>
    <n v="112"/>
    <n v="2"/>
    <n v="2024"/>
    <x v="5"/>
    <x v="0"/>
    <n v="2"/>
  </r>
  <r>
    <s v="Call_8035"/>
    <x v="9"/>
    <x v="1"/>
    <n v="127"/>
    <x v="1"/>
    <x v="246"/>
    <n v="112"/>
    <n v="4.5999999999999996"/>
    <n v="2024"/>
    <x v="5"/>
    <x v="1"/>
    <n v="5"/>
  </r>
  <r>
    <s v="Call_8036"/>
    <x v="14"/>
    <x v="2"/>
    <n v="124"/>
    <x v="2"/>
    <x v="246"/>
    <n v="48"/>
    <n v="3.7"/>
    <n v="2024"/>
    <x v="5"/>
    <x v="1"/>
    <n v="4"/>
  </r>
  <r>
    <s v="Call_8037"/>
    <x v="11"/>
    <x v="2"/>
    <n v="125"/>
    <x v="1"/>
    <x v="246"/>
    <n v="116"/>
    <n v="4.4000000000000004"/>
    <n v="2024"/>
    <x v="5"/>
    <x v="1"/>
    <n v="4"/>
  </r>
  <r>
    <s v="Call_8038"/>
    <x v="1"/>
    <x v="0"/>
    <n v="70"/>
    <x v="1"/>
    <x v="246"/>
    <n v="29"/>
    <n v="2.1"/>
    <n v="2024"/>
    <x v="5"/>
    <x v="0"/>
    <n v="2"/>
  </r>
  <r>
    <s v="Call_8039"/>
    <x v="9"/>
    <x v="1"/>
    <n v="93"/>
    <x v="3"/>
    <x v="247"/>
    <n v="170"/>
    <n v="2.2000000000000002"/>
    <n v="2024"/>
    <x v="6"/>
    <x v="0"/>
    <n v="2"/>
  </r>
  <r>
    <s v="Call_8040"/>
    <x v="1"/>
    <x v="0"/>
    <n v="120"/>
    <x v="4"/>
    <x v="247"/>
    <n v="68"/>
    <n v="3.4"/>
    <n v="2024"/>
    <x v="6"/>
    <x v="0"/>
    <n v="3"/>
  </r>
  <r>
    <s v="Call_8041"/>
    <x v="4"/>
    <x v="0"/>
    <n v="96"/>
    <x v="0"/>
    <x v="247"/>
    <n v="195"/>
    <n v="2.7"/>
    <n v="2024"/>
    <x v="6"/>
    <x v="0"/>
    <n v="3"/>
  </r>
  <r>
    <s v="Call_8042"/>
    <x v="3"/>
    <x v="1"/>
    <n v="67"/>
    <x v="0"/>
    <x v="247"/>
    <n v="96"/>
    <n v="3.7"/>
    <n v="2024"/>
    <x v="6"/>
    <x v="0"/>
    <n v="4"/>
  </r>
  <r>
    <s v="Call_8043"/>
    <x v="11"/>
    <x v="2"/>
    <n v="119"/>
    <x v="0"/>
    <x v="247"/>
    <n v="96"/>
    <n v="3.1"/>
    <n v="2024"/>
    <x v="6"/>
    <x v="0"/>
    <n v="3"/>
  </r>
  <r>
    <s v="Call_8044"/>
    <x v="14"/>
    <x v="2"/>
    <n v="61"/>
    <x v="2"/>
    <x v="247"/>
    <n v="117"/>
    <n v="4.0999999999999996"/>
    <n v="2024"/>
    <x v="6"/>
    <x v="0"/>
    <n v="4"/>
  </r>
  <r>
    <s v="Call_8045"/>
    <x v="4"/>
    <x v="0"/>
    <n v="29"/>
    <x v="3"/>
    <x v="247"/>
    <n v="80"/>
    <n v="4.8"/>
    <n v="2024"/>
    <x v="6"/>
    <x v="3"/>
    <n v="5"/>
  </r>
  <r>
    <s v="Call_8046"/>
    <x v="8"/>
    <x v="2"/>
    <n v="134"/>
    <x v="4"/>
    <x v="247"/>
    <n v="117"/>
    <n v="4"/>
    <n v="2024"/>
    <x v="6"/>
    <x v="1"/>
    <n v="4"/>
  </r>
  <r>
    <s v="Call_8047"/>
    <x v="10"/>
    <x v="1"/>
    <n v="113"/>
    <x v="0"/>
    <x v="248"/>
    <n v="40"/>
    <n v="3"/>
    <n v="2024"/>
    <x v="0"/>
    <x v="0"/>
    <n v="3"/>
  </r>
  <r>
    <s v="Call_8048"/>
    <x v="13"/>
    <x v="1"/>
    <n v="12"/>
    <x v="4"/>
    <x v="248"/>
    <n v="117"/>
    <n v="4.8"/>
    <n v="2024"/>
    <x v="0"/>
    <x v="3"/>
    <n v="5"/>
  </r>
  <r>
    <s v="Call_8049"/>
    <x v="7"/>
    <x v="2"/>
    <n v="78"/>
    <x v="3"/>
    <x v="248"/>
    <n v="135"/>
    <n v="4.0999999999999996"/>
    <n v="2024"/>
    <x v="0"/>
    <x v="0"/>
    <n v="4"/>
  </r>
  <r>
    <s v="Call_8050"/>
    <x v="11"/>
    <x v="2"/>
    <n v="82"/>
    <x v="1"/>
    <x v="248"/>
    <n v="99"/>
    <n v="4.2"/>
    <n v="2024"/>
    <x v="0"/>
    <x v="0"/>
    <n v="4"/>
  </r>
  <r>
    <s v="Call_8051"/>
    <x v="6"/>
    <x v="2"/>
    <n v="149"/>
    <x v="2"/>
    <x v="248"/>
    <n v="130"/>
    <n v="3.3"/>
    <n v="2024"/>
    <x v="0"/>
    <x v="1"/>
    <n v="3"/>
  </r>
  <r>
    <s v="Call_8052"/>
    <x v="5"/>
    <x v="2"/>
    <n v="56"/>
    <x v="4"/>
    <x v="248"/>
    <n v="96"/>
    <n v="4.7"/>
    <n v="2024"/>
    <x v="0"/>
    <x v="2"/>
    <n v="5"/>
  </r>
  <r>
    <s v="Call_8053"/>
    <x v="4"/>
    <x v="0"/>
    <n v="80"/>
    <x v="2"/>
    <x v="248"/>
    <n v="128"/>
    <n v="3.7"/>
    <n v="2024"/>
    <x v="0"/>
    <x v="0"/>
    <n v="4"/>
  </r>
  <r>
    <s v="Call_8054"/>
    <x v="14"/>
    <x v="2"/>
    <n v="131"/>
    <x v="0"/>
    <x v="248"/>
    <n v="69"/>
    <n v="4.7"/>
    <n v="2024"/>
    <x v="0"/>
    <x v="1"/>
    <n v="5"/>
  </r>
  <r>
    <s v="Call_8055"/>
    <x v="14"/>
    <x v="2"/>
    <n v="109"/>
    <x v="0"/>
    <x v="248"/>
    <n v="44"/>
    <n v="4.5999999999999996"/>
    <n v="2024"/>
    <x v="0"/>
    <x v="0"/>
    <n v="5"/>
  </r>
  <r>
    <s v="Call_8056"/>
    <x v="5"/>
    <x v="2"/>
    <n v="142"/>
    <x v="0"/>
    <x v="248"/>
    <n v="44"/>
    <n v="4.8"/>
    <n v="2024"/>
    <x v="0"/>
    <x v="1"/>
    <n v="5"/>
  </r>
  <r>
    <s v="Call_8057"/>
    <x v="9"/>
    <x v="1"/>
    <n v="114"/>
    <x v="4"/>
    <x v="249"/>
    <n v="135"/>
    <n v="2"/>
    <n v="2024"/>
    <x v="1"/>
    <x v="0"/>
    <n v="2"/>
  </r>
  <r>
    <s v="Call_8058"/>
    <x v="3"/>
    <x v="1"/>
    <n v="93"/>
    <x v="2"/>
    <x v="249"/>
    <n v="45"/>
    <n v="3.9"/>
    <n v="2024"/>
    <x v="1"/>
    <x v="0"/>
    <n v="4"/>
  </r>
  <r>
    <s v="Call_8059"/>
    <x v="13"/>
    <x v="1"/>
    <n v="43"/>
    <x v="2"/>
    <x v="249"/>
    <n v="87"/>
    <n v="3"/>
    <n v="2024"/>
    <x v="1"/>
    <x v="2"/>
    <n v="3"/>
  </r>
  <r>
    <s v="Call_8060"/>
    <x v="8"/>
    <x v="2"/>
    <n v="78"/>
    <x v="3"/>
    <x v="250"/>
    <n v="84"/>
    <n v="4.5999999999999996"/>
    <n v="2024"/>
    <x v="2"/>
    <x v="0"/>
    <n v="5"/>
  </r>
  <r>
    <s v="Call_8061"/>
    <x v="9"/>
    <x v="1"/>
    <n v="89"/>
    <x v="0"/>
    <x v="250"/>
    <n v="81"/>
    <n v="3.8"/>
    <n v="2024"/>
    <x v="2"/>
    <x v="0"/>
    <n v="4"/>
  </r>
  <r>
    <s v="Call_8062"/>
    <x v="5"/>
    <x v="2"/>
    <n v="82"/>
    <x v="1"/>
    <x v="250"/>
    <n v="130"/>
    <n v="4.4000000000000004"/>
    <n v="2024"/>
    <x v="2"/>
    <x v="0"/>
    <n v="4"/>
  </r>
  <r>
    <s v="Call_8063"/>
    <x v="4"/>
    <x v="0"/>
    <n v="86"/>
    <x v="0"/>
    <x v="251"/>
    <n v="92"/>
    <n v="2.4"/>
    <n v="2024"/>
    <x v="3"/>
    <x v="0"/>
    <n v="2"/>
  </r>
  <r>
    <s v="Call_8064"/>
    <x v="12"/>
    <x v="0"/>
    <n v="57"/>
    <x v="3"/>
    <x v="251"/>
    <n v="48"/>
    <n v="4.5"/>
    <n v="2024"/>
    <x v="3"/>
    <x v="2"/>
    <n v="5"/>
  </r>
  <r>
    <s v="Call_8065"/>
    <x v="3"/>
    <x v="1"/>
    <n v="103"/>
    <x v="4"/>
    <x v="251"/>
    <n v="160"/>
    <n v="4.5"/>
    <n v="2024"/>
    <x v="3"/>
    <x v="0"/>
    <n v="5"/>
  </r>
  <r>
    <s v="Call_8066"/>
    <x v="7"/>
    <x v="2"/>
    <n v="138"/>
    <x v="3"/>
    <x v="252"/>
    <n v="155"/>
    <n v="2.7"/>
    <n v="2024"/>
    <x v="4"/>
    <x v="1"/>
    <n v="3"/>
  </r>
  <r>
    <s v="Call_8067"/>
    <x v="6"/>
    <x v="2"/>
    <n v="88"/>
    <x v="1"/>
    <x v="252"/>
    <n v="100"/>
    <n v="4.9000000000000004"/>
    <n v="2024"/>
    <x v="4"/>
    <x v="0"/>
    <n v="5"/>
  </r>
  <r>
    <s v="Call_8068"/>
    <x v="9"/>
    <x v="1"/>
    <n v="118"/>
    <x v="2"/>
    <x v="252"/>
    <n v="56"/>
    <n v="3.7"/>
    <n v="2024"/>
    <x v="4"/>
    <x v="0"/>
    <n v="4"/>
  </r>
  <r>
    <s v="Call_8069"/>
    <x v="4"/>
    <x v="0"/>
    <n v="4"/>
    <x v="0"/>
    <x v="252"/>
    <n v="170"/>
    <n v="3.9"/>
    <n v="2024"/>
    <x v="4"/>
    <x v="4"/>
    <n v="4"/>
  </r>
  <r>
    <s v="Call_8070"/>
    <x v="13"/>
    <x v="1"/>
    <n v="78"/>
    <x v="4"/>
    <x v="253"/>
    <n v="74"/>
    <n v="3.5"/>
    <n v="2024"/>
    <x v="5"/>
    <x v="0"/>
    <n v="4"/>
  </r>
  <r>
    <s v="Call_8071"/>
    <x v="10"/>
    <x v="1"/>
    <n v="69"/>
    <x v="0"/>
    <x v="253"/>
    <n v="99"/>
    <n v="2.7"/>
    <n v="2024"/>
    <x v="5"/>
    <x v="0"/>
    <n v="3"/>
  </r>
  <r>
    <s v="Call_8072"/>
    <x v="5"/>
    <x v="2"/>
    <n v="90"/>
    <x v="3"/>
    <x v="253"/>
    <n v="84"/>
    <n v="3.9"/>
    <n v="2024"/>
    <x v="5"/>
    <x v="0"/>
    <n v="4"/>
  </r>
  <r>
    <s v="Call_8073"/>
    <x v="10"/>
    <x v="1"/>
    <n v="134"/>
    <x v="0"/>
    <x v="253"/>
    <n v="35"/>
    <n v="3.4"/>
    <n v="2024"/>
    <x v="5"/>
    <x v="1"/>
    <n v="3"/>
  </r>
  <r>
    <s v="Call_8074"/>
    <x v="1"/>
    <x v="0"/>
    <n v="65"/>
    <x v="2"/>
    <x v="253"/>
    <n v="150"/>
    <n v="5"/>
    <n v="2024"/>
    <x v="5"/>
    <x v="0"/>
    <n v="5"/>
  </r>
  <r>
    <s v="Call_8075"/>
    <x v="2"/>
    <x v="1"/>
    <n v="54"/>
    <x v="4"/>
    <x v="254"/>
    <n v="176"/>
    <n v="4.4000000000000004"/>
    <n v="2024"/>
    <x v="6"/>
    <x v="2"/>
    <n v="4"/>
  </r>
  <r>
    <s v="Call_8076"/>
    <x v="2"/>
    <x v="1"/>
    <n v="90"/>
    <x v="4"/>
    <x v="254"/>
    <n v="84"/>
    <n v="4.3"/>
    <n v="2024"/>
    <x v="6"/>
    <x v="0"/>
    <n v="4"/>
  </r>
  <r>
    <s v="Call_8077"/>
    <x v="5"/>
    <x v="2"/>
    <n v="66"/>
    <x v="4"/>
    <x v="254"/>
    <n v="136"/>
    <n v="4.7"/>
    <n v="2024"/>
    <x v="6"/>
    <x v="0"/>
    <n v="5"/>
  </r>
  <r>
    <s v="Call_8078"/>
    <x v="4"/>
    <x v="0"/>
    <n v="150"/>
    <x v="4"/>
    <x v="255"/>
    <n v="70"/>
    <n v="4.0999999999999996"/>
    <n v="2024"/>
    <x v="0"/>
    <x v="1"/>
    <n v="4"/>
  </r>
  <r>
    <s v="Call_8079"/>
    <x v="8"/>
    <x v="2"/>
    <n v="18"/>
    <x v="2"/>
    <x v="255"/>
    <n v="96"/>
    <n v="4.8"/>
    <n v="2024"/>
    <x v="0"/>
    <x v="3"/>
    <n v="5"/>
  </r>
  <r>
    <s v="Call_8080"/>
    <x v="2"/>
    <x v="1"/>
    <n v="87"/>
    <x v="2"/>
    <x v="255"/>
    <n v="23"/>
    <n v="4.2"/>
    <n v="2024"/>
    <x v="0"/>
    <x v="0"/>
    <n v="4"/>
  </r>
  <r>
    <s v="Call_8081"/>
    <x v="7"/>
    <x v="2"/>
    <n v="94"/>
    <x v="4"/>
    <x v="256"/>
    <n v="120"/>
    <n v="3.4"/>
    <n v="2024"/>
    <x v="1"/>
    <x v="0"/>
    <n v="3"/>
  </r>
  <r>
    <s v="Call_8082"/>
    <x v="12"/>
    <x v="0"/>
    <n v="56"/>
    <x v="4"/>
    <x v="256"/>
    <n v="205"/>
    <n v="3.3"/>
    <n v="2024"/>
    <x v="1"/>
    <x v="2"/>
    <n v="3"/>
  </r>
  <r>
    <s v="Call_8083"/>
    <x v="9"/>
    <x v="1"/>
    <n v="41"/>
    <x v="1"/>
    <x v="257"/>
    <n v="42"/>
    <n v="3.8"/>
    <n v="2024"/>
    <x v="2"/>
    <x v="2"/>
    <n v="4"/>
  </r>
  <r>
    <s v="Call_8084"/>
    <x v="4"/>
    <x v="0"/>
    <n v="119"/>
    <x v="3"/>
    <x v="257"/>
    <n v="111"/>
    <n v="3.9"/>
    <n v="2024"/>
    <x v="2"/>
    <x v="0"/>
    <n v="4"/>
  </r>
  <r>
    <s v="Call_8085"/>
    <x v="3"/>
    <x v="1"/>
    <n v="108"/>
    <x v="4"/>
    <x v="257"/>
    <n v="68"/>
    <n v="2.5"/>
    <n v="2024"/>
    <x v="2"/>
    <x v="0"/>
    <n v="3"/>
  </r>
  <r>
    <s v="Call_8086"/>
    <x v="13"/>
    <x v="1"/>
    <n v="63"/>
    <x v="0"/>
    <x v="257"/>
    <n v="172"/>
    <n v="4.9000000000000004"/>
    <n v="2024"/>
    <x v="2"/>
    <x v="0"/>
    <n v="5"/>
  </r>
  <r>
    <s v="Call_8087"/>
    <x v="11"/>
    <x v="2"/>
    <n v="59"/>
    <x v="4"/>
    <x v="257"/>
    <n v="152"/>
    <n v="4.8"/>
    <n v="2024"/>
    <x v="2"/>
    <x v="2"/>
    <n v="5"/>
  </r>
  <r>
    <s v="Call_8088"/>
    <x v="11"/>
    <x v="2"/>
    <n v="90"/>
    <x v="1"/>
    <x v="257"/>
    <n v="48"/>
    <n v="4.7"/>
    <n v="2024"/>
    <x v="2"/>
    <x v="0"/>
    <n v="5"/>
  </r>
  <r>
    <s v="Call_8089"/>
    <x v="6"/>
    <x v="2"/>
    <n v="55"/>
    <x v="1"/>
    <x v="257"/>
    <n v="25"/>
    <n v="4.7"/>
    <n v="2024"/>
    <x v="2"/>
    <x v="2"/>
    <n v="5"/>
  </r>
  <r>
    <s v="Call_8090"/>
    <x v="3"/>
    <x v="1"/>
    <n v="84"/>
    <x v="3"/>
    <x v="258"/>
    <n v="54"/>
    <n v="3.3"/>
    <n v="2024"/>
    <x v="3"/>
    <x v="0"/>
    <n v="3"/>
  </r>
  <r>
    <s v="Call_8091"/>
    <x v="3"/>
    <x v="1"/>
    <n v="150"/>
    <x v="2"/>
    <x v="258"/>
    <n v="108"/>
    <n v="4.7"/>
    <n v="2024"/>
    <x v="3"/>
    <x v="1"/>
    <n v="5"/>
  </r>
  <r>
    <s v="Call_8092"/>
    <x v="14"/>
    <x v="2"/>
    <n v="69"/>
    <x v="4"/>
    <x v="258"/>
    <n v="36"/>
    <n v="4.5"/>
    <n v="2024"/>
    <x v="3"/>
    <x v="0"/>
    <n v="5"/>
  </r>
  <r>
    <s v="Call_8093"/>
    <x v="0"/>
    <x v="0"/>
    <n v="120"/>
    <x v="1"/>
    <x v="259"/>
    <n v="140"/>
    <n v="4.5999999999999996"/>
    <n v="2024"/>
    <x v="4"/>
    <x v="0"/>
    <n v="5"/>
  </r>
  <r>
    <s v="Call_8094"/>
    <x v="2"/>
    <x v="1"/>
    <n v="126"/>
    <x v="3"/>
    <x v="259"/>
    <n v="50"/>
    <n v="4.8"/>
    <n v="2024"/>
    <x v="4"/>
    <x v="1"/>
    <n v="5"/>
  </r>
  <r>
    <s v="Call_8095"/>
    <x v="14"/>
    <x v="2"/>
    <n v="120"/>
    <x v="0"/>
    <x v="259"/>
    <n v="195"/>
    <n v="4.3"/>
    <n v="2024"/>
    <x v="4"/>
    <x v="0"/>
    <n v="4"/>
  </r>
  <r>
    <s v="Call_8096"/>
    <x v="2"/>
    <x v="1"/>
    <n v="139"/>
    <x v="1"/>
    <x v="260"/>
    <n v="48"/>
    <n v="4.7"/>
    <n v="2024"/>
    <x v="5"/>
    <x v="1"/>
    <n v="5"/>
  </r>
  <r>
    <s v="Call_8097"/>
    <x v="6"/>
    <x v="2"/>
    <n v="124"/>
    <x v="4"/>
    <x v="261"/>
    <n v="29"/>
    <n v="4.8"/>
    <n v="2024"/>
    <x v="6"/>
    <x v="1"/>
    <n v="5"/>
  </r>
  <r>
    <s v="Call_8098"/>
    <x v="0"/>
    <x v="0"/>
    <n v="108"/>
    <x v="0"/>
    <x v="261"/>
    <n v="44"/>
    <n v="4.7"/>
    <n v="2024"/>
    <x v="6"/>
    <x v="0"/>
    <n v="5"/>
  </r>
  <r>
    <s v="Call_8099"/>
    <x v="1"/>
    <x v="0"/>
    <n v="132"/>
    <x v="2"/>
    <x v="261"/>
    <n v="140"/>
    <n v="4.3"/>
    <n v="2024"/>
    <x v="6"/>
    <x v="1"/>
    <n v="4"/>
  </r>
  <r>
    <s v="Call_8100"/>
    <x v="13"/>
    <x v="1"/>
    <n v="67"/>
    <x v="2"/>
    <x v="261"/>
    <n v="105"/>
    <n v="3.8"/>
    <n v="2024"/>
    <x v="6"/>
    <x v="0"/>
    <n v="4"/>
  </r>
  <r>
    <s v="Call_8101"/>
    <x v="5"/>
    <x v="2"/>
    <n v="125"/>
    <x v="2"/>
    <x v="261"/>
    <n v="82"/>
    <n v="4.5999999999999996"/>
    <n v="2024"/>
    <x v="6"/>
    <x v="1"/>
    <n v="5"/>
  </r>
  <r>
    <s v="Call_8102"/>
    <x v="0"/>
    <x v="0"/>
    <n v="23"/>
    <x v="0"/>
    <x v="261"/>
    <n v="24"/>
    <n v="2.9"/>
    <n v="2024"/>
    <x v="6"/>
    <x v="3"/>
    <n v="3"/>
  </r>
  <r>
    <s v="Call_8103"/>
    <x v="4"/>
    <x v="0"/>
    <n v="131"/>
    <x v="4"/>
    <x v="262"/>
    <n v="205"/>
    <n v="4.8"/>
    <n v="2024"/>
    <x v="0"/>
    <x v="1"/>
    <n v="5"/>
  </r>
  <r>
    <s v="Call_8104"/>
    <x v="1"/>
    <x v="0"/>
    <n v="56"/>
    <x v="1"/>
    <x v="262"/>
    <n v="225"/>
    <n v="4.9000000000000004"/>
    <n v="2024"/>
    <x v="0"/>
    <x v="2"/>
    <n v="5"/>
  </r>
  <r>
    <s v="Call_8105"/>
    <x v="4"/>
    <x v="0"/>
    <n v="70"/>
    <x v="4"/>
    <x v="262"/>
    <n v="50"/>
    <n v="3.4"/>
    <n v="2024"/>
    <x v="0"/>
    <x v="0"/>
    <n v="3"/>
  </r>
  <r>
    <s v="Call_8106"/>
    <x v="4"/>
    <x v="0"/>
    <n v="55"/>
    <x v="2"/>
    <x v="262"/>
    <n v="80"/>
    <n v="4.3"/>
    <n v="2024"/>
    <x v="0"/>
    <x v="2"/>
    <n v="4"/>
  </r>
  <r>
    <s v="Call_8107"/>
    <x v="5"/>
    <x v="2"/>
    <n v="77"/>
    <x v="1"/>
    <x v="262"/>
    <n v="78"/>
    <n v="3.9"/>
    <n v="2024"/>
    <x v="0"/>
    <x v="0"/>
    <n v="4"/>
  </r>
  <r>
    <s v="Call_8108"/>
    <x v="3"/>
    <x v="1"/>
    <n v="133"/>
    <x v="4"/>
    <x v="263"/>
    <n v="40"/>
    <n v="3.9"/>
    <n v="2024"/>
    <x v="1"/>
    <x v="1"/>
    <n v="4"/>
  </r>
  <r>
    <s v="Call_8109"/>
    <x v="5"/>
    <x v="2"/>
    <n v="77"/>
    <x v="1"/>
    <x v="263"/>
    <n v="176"/>
    <n v="1.5"/>
    <n v="2024"/>
    <x v="1"/>
    <x v="0"/>
    <n v="2"/>
  </r>
  <r>
    <s v="Call_8110"/>
    <x v="11"/>
    <x v="2"/>
    <n v="103"/>
    <x v="4"/>
    <x v="263"/>
    <n v="78"/>
    <n v="3"/>
    <n v="2024"/>
    <x v="1"/>
    <x v="0"/>
    <n v="3"/>
  </r>
  <r>
    <s v="Call_8111"/>
    <x v="14"/>
    <x v="2"/>
    <n v="32"/>
    <x v="1"/>
    <x v="263"/>
    <n v="42"/>
    <n v="4.2"/>
    <n v="2024"/>
    <x v="1"/>
    <x v="2"/>
    <n v="4"/>
  </r>
  <r>
    <s v="Call_8112"/>
    <x v="3"/>
    <x v="1"/>
    <n v="30"/>
    <x v="4"/>
    <x v="263"/>
    <n v="38"/>
    <n v="3.7"/>
    <n v="2024"/>
    <x v="1"/>
    <x v="3"/>
    <n v="4"/>
  </r>
  <r>
    <s v="Call_8113"/>
    <x v="2"/>
    <x v="1"/>
    <n v="87"/>
    <x v="3"/>
    <x v="263"/>
    <n v="27"/>
    <n v="4.2"/>
    <n v="2024"/>
    <x v="1"/>
    <x v="0"/>
    <n v="4"/>
  </r>
  <r>
    <s v="Call_8114"/>
    <x v="5"/>
    <x v="2"/>
    <n v="137"/>
    <x v="0"/>
    <x v="264"/>
    <n v="45"/>
    <n v="4.4000000000000004"/>
    <n v="2024"/>
    <x v="2"/>
    <x v="1"/>
    <n v="4"/>
  </r>
  <r>
    <s v="Call_8115"/>
    <x v="7"/>
    <x v="2"/>
    <n v="96"/>
    <x v="4"/>
    <x v="264"/>
    <n v="215"/>
    <n v="4"/>
    <n v="2024"/>
    <x v="2"/>
    <x v="0"/>
    <n v="4"/>
  </r>
  <r>
    <s v="Call_8116"/>
    <x v="6"/>
    <x v="2"/>
    <n v="155"/>
    <x v="4"/>
    <x v="265"/>
    <n v="72"/>
    <n v="4.7"/>
    <n v="2024"/>
    <x v="3"/>
    <x v="1"/>
    <n v="5"/>
  </r>
  <r>
    <s v="Call_8117"/>
    <x v="3"/>
    <x v="1"/>
    <n v="173"/>
    <x v="2"/>
    <x v="265"/>
    <n v="160"/>
    <n v="2.8"/>
    <n v="2024"/>
    <x v="3"/>
    <x v="1"/>
    <n v="3"/>
  </r>
  <r>
    <s v="Call_8118"/>
    <x v="6"/>
    <x v="2"/>
    <n v="127"/>
    <x v="4"/>
    <x v="265"/>
    <n v="165"/>
    <n v="2.5"/>
    <n v="2024"/>
    <x v="3"/>
    <x v="1"/>
    <n v="3"/>
  </r>
  <r>
    <s v="Call_8119"/>
    <x v="1"/>
    <x v="0"/>
    <n v="117"/>
    <x v="2"/>
    <x v="265"/>
    <n v="120"/>
    <n v="3.4"/>
    <n v="2024"/>
    <x v="3"/>
    <x v="0"/>
    <n v="3"/>
  </r>
  <r>
    <s v="Call_8120"/>
    <x v="0"/>
    <x v="0"/>
    <n v="133"/>
    <x v="1"/>
    <x v="265"/>
    <n v="117"/>
    <n v="4.8"/>
    <n v="2024"/>
    <x v="3"/>
    <x v="1"/>
    <n v="5"/>
  </r>
  <r>
    <s v="Call_8121"/>
    <x v="8"/>
    <x v="2"/>
    <n v="166"/>
    <x v="3"/>
    <x v="266"/>
    <n v="29"/>
    <n v="4.3"/>
    <n v="2024"/>
    <x v="4"/>
    <x v="1"/>
    <n v="4"/>
  </r>
  <r>
    <s v="Call_8122"/>
    <x v="0"/>
    <x v="0"/>
    <n v="50"/>
    <x v="2"/>
    <x v="266"/>
    <n v="64"/>
    <n v="4.5"/>
    <n v="2024"/>
    <x v="4"/>
    <x v="2"/>
    <n v="5"/>
  </r>
  <r>
    <s v="Call_8123"/>
    <x v="11"/>
    <x v="2"/>
    <n v="43"/>
    <x v="1"/>
    <x v="266"/>
    <n v="84"/>
    <n v="3.6"/>
    <n v="2024"/>
    <x v="4"/>
    <x v="2"/>
    <n v="4"/>
  </r>
  <r>
    <s v="Call_8124"/>
    <x v="7"/>
    <x v="2"/>
    <n v="124"/>
    <x v="4"/>
    <x v="266"/>
    <n v="42"/>
    <n v="3.7"/>
    <n v="2024"/>
    <x v="4"/>
    <x v="1"/>
    <n v="4"/>
  </r>
  <r>
    <s v="Call_8125"/>
    <x v="3"/>
    <x v="1"/>
    <n v="94"/>
    <x v="4"/>
    <x v="266"/>
    <n v="120"/>
    <n v="3.5"/>
    <n v="2024"/>
    <x v="4"/>
    <x v="0"/>
    <n v="4"/>
  </r>
  <r>
    <s v="Call_8126"/>
    <x v="11"/>
    <x v="2"/>
    <n v="126"/>
    <x v="3"/>
    <x v="267"/>
    <n v="80"/>
    <n v="4.7"/>
    <n v="2024"/>
    <x v="5"/>
    <x v="1"/>
    <n v="5"/>
  </r>
  <r>
    <s v="Call_8127"/>
    <x v="8"/>
    <x v="2"/>
    <n v="105"/>
    <x v="2"/>
    <x v="267"/>
    <n v="185"/>
    <n v="3.5"/>
    <n v="2024"/>
    <x v="5"/>
    <x v="0"/>
    <n v="4"/>
  </r>
  <r>
    <s v="Call_8128"/>
    <x v="4"/>
    <x v="0"/>
    <n v="60"/>
    <x v="0"/>
    <x v="268"/>
    <n v="135"/>
    <n v="3.9"/>
    <n v="2024"/>
    <x v="6"/>
    <x v="2"/>
    <n v="4"/>
  </r>
  <r>
    <s v="Call_8129"/>
    <x v="4"/>
    <x v="0"/>
    <n v="72"/>
    <x v="2"/>
    <x v="268"/>
    <n v="20"/>
    <n v="4.8"/>
    <n v="2024"/>
    <x v="6"/>
    <x v="0"/>
    <n v="5"/>
  </r>
  <r>
    <s v="Call_8130"/>
    <x v="12"/>
    <x v="0"/>
    <n v="40"/>
    <x v="2"/>
    <x v="268"/>
    <n v="31"/>
    <n v="4"/>
    <n v="2024"/>
    <x v="6"/>
    <x v="2"/>
    <n v="4"/>
  </r>
  <r>
    <s v="Call_8131"/>
    <x v="14"/>
    <x v="2"/>
    <n v="54"/>
    <x v="3"/>
    <x v="269"/>
    <n v="120"/>
    <n v="4.7"/>
    <n v="2024"/>
    <x v="0"/>
    <x v="2"/>
    <n v="5"/>
  </r>
  <r>
    <s v="Call_8132"/>
    <x v="1"/>
    <x v="0"/>
    <n v="81"/>
    <x v="1"/>
    <x v="269"/>
    <n v="117"/>
    <n v="3.6"/>
    <n v="2024"/>
    <x v="0"/>
    <x v="0"/>
    <n v="4"/>
  </r>
  <r>
    <s v="Call_8133"/>
    <x v="14"/>
    <x v="2"/>
    <n v="76"/>
    <x v="4"/>
    <x v="269"/>
    <n v="80"/>
    <n v="4.5"/>
    <n v="2024"/>
    <x v="0"/>
    <x v="0"/>
    <n v="5"/>
  </r>
  <r>
    <s v="Call_8134"/>
    <x v="14"/>
    <x v="2"/>
    <n v="37"/>
    <x v="0"/>
    <x v="270"/>
    <n v="117"/>
    <n v="4"/>
    <n v="2024"/>
    <x v="1"/>
    <x v="2"/>
    <n v="4"/>
  </r>
  <r>
    <s v="Call_8135"/>
    <x v="8"/>
    <x v="2"/>
    <n v="96"/>
    <x v="3"/>
    <x v="270"/>
    <n v="60"/>
    <n v="4.5"/>
    <n v="2024"/>
    <x v="1"/>
    <x v="0"/>
    <n v="5"/>
  </r>
  <r>
    <s v="Call_8136"/>
    <x v="4"/>
    <x v="0"/>
    <n v="19"/>
    <x v="4"/>
    <x v="271"/>
    <n v="58"/>
    <n v="3.9"/>
    <n v="2024"/>
    <x v="2"/>
    <x v="3"/>
    <n v="4"/>
  </r>
  <r>
    <s v="Call_8137"/>
    <x v="12"/>
    <x v="0"/>
    <n v="72"/>
    <x v="0"/>
    <x v="271"/>
    <n v="41"/>
    <n v="4.3"/>
    <n v="2024"/>
    <x v="2"/>
    <x v="0"/>
    <n v="4"/>
  </r>
  <r>
    <s v="Call_8138"/>
    <x v="3"/>
    <x v="1"/>
    <n v="73"/>
    <x v="1"/>
    <x v="271"/>
    <n v="180"/>
    <n v="3.6"/>
    <n v="2024"/>
    <x v="2"/>
    <x v="0"/>
    <n v="4"/>
  </r>
  <r>
    <s v="Call_8139"/>
    <x v="13"/>
    <x v="1"/>
    <n v="87"/>
    <x v="1"/>
    <x v="271"/>
    <n v="42"/>
    <n v="3.6"/>
    <n v="2024"/>
    <x v="2"/>
    <x v="0"/>
    <n v="4"/>
  </r>
  <r>
    <s v="Call_8140"/>
    <x v="13"/>
    <x v="1"/>
    <n v="68"/>
    <x v="1"/>
    <x v="272"/>
    <n v="24"/>
    <n v="4"/>
    <n v="2024"/>
    <x v="3"/>
    <x v="0"/>
    <n v="4"/>
  </r>
  <r>
    <s v="Call_8141"/>
    <x v="12"/>
    <x v="0"/>
    <n v="101"/>
    <x v="1"/>
    <x v="272"/>
    <n v="125"/>
    <n v="4.2"/>
    <n v="2024"/>
    <x v="3"/>
    <x v="0"/>
    <n v="4"/>
  </r>
  <r>
    <s v="Call_8142"/>
    <x v="12"/>
    <x v="0"/>
    <n v="107"/>
    <x v="0"/>
    <x v="273"/>
    <n v="78"/>
    <n v="4.3"/>
    <n v="2024"/>
    <x v="4"/>
    <x v="0"/>
    <n v="4"/>
  </r>
  <r>
    <s v="Call_8143"/>
    <x v="9"/>
    <x v="1"/>
    <n v="109"/>
    <x v="2"/>
    <x v="273"/>
    <n v="180"/>
    <n v="3.8"/>
    <n v="2024"/>
    <x v="4"/>
    <x v="0"/>
    <n v="4"/>
  </r>
  <r>
    <s v="Call_8144"/>
    <x v="7"/>
    <x v="2"/>
    <n v="171"/>
    <x v="0"/>
    <x v="273"/>
    <n v="84"/>
    <n v="4.4000000000000004"/>
    <n v="2024"/>
    <x v="4"/>
    <x v="1"/>
    <n v="4"/>
  </r>
  <r>
    <s v="Call_8145"/>
    <x v="4"/>
    <x v="0"/>
    <n v="21"/>
    <x v="0"/>
    <x v="273"/>
    <n v="26"/>
    <n v="4.7"/>
    <n v="2024"/>
    <x v="4"/>
    <x v="3"/>
    <n v="5"/>
  </r>
  <r>
    <s v="Call_8146"/>
    <x v="1"/>
    <x v="0"/>
    <n v="94"/>
    <x v="0"/>
    <x v="274"/>
    <n v="140"/>
    <n v="3.6"/>
    <n v="2024"/>
    <x v="5"/>
    <x v="0"/>
    <n v="4"/>
  </r>
  <r>
    <s v="Call_8147"/>
    <x v="3"/>
    <x v="1"/>
    <n v="97"/>
    <x v="2"/>
    <x v="274"/>
    <n v="31"/>
    <n v="2.2000000000000002"/>
    <n v="2024"/>
    <x v="5"/>
    <x v="0"/>
    <n v="2"/>
  </r>
  <r>
    <s v="Call_8148"/>
    <x v="8"/>
    <x v="2"/>
    <n v="72"/>
    <x v="2"/>
    <x v="274"/>
    <n v="108"/>
    <n v="4.8"/>
    <n v="2024"/>
    <x v="5"/>
    <x v="0"/>
    <n v="5"/>
  </r>
  <r>
    <s v="Call_8149"/>
    <x v="7"/>
    <x v="2"/>
    <n v="143"/>
    <x v="3"/>
    <x v="275"/>
    <n v="58"/>
    <n v="4.3"/>
    <n v="2024"/>
    <x v="6"/>
    <x v="1"/>
    <n v="4"/>
  </r>
  <r>
    <s v="Call_8150"/>
    <x v="7"/>
    <x v="2"/>
    <n v="64"/>
    <x v="2"/>
    <x v="275"/>
    <n v="185"/>
    <n v="2.2000000000000002"/>
    <n v="2024"/>
    <x v="6"/>
    <x v="0"/>
    <n v="2"/>
  </r>
  <r>
    <s v="Call_8151"/>
    <x v="7"/>
    <x v="2"/>
    <n v="69"/>
    <x v="2"/>
    <x v="275"/>
    <n v="40"/>
    <n v="4.8"/>
    <n v="2024"/>
    <x v="6"/>
    <x v="0"/>
    <n v="5"/>
  </r>
  <r>
    <s v="Call_8152"/>
    <x v="7"/>
    <x v="2"/>
    <n v="18"/>
    <x v="4"/>
    <x v="275"/>
    <n v="225"/>
    <n v="2.6"/>
    <n v="2024"/>
    <x v="6"/>
    <x v="3"/>
    <n v="3"/>
  </r>
  <r>
    <s v="Call_8153"/>
    <x v="3"/>
    <x v="1"/>
    <n v="100"/>
    <x v="3"/>
    <x v="275"/>
    <n v="150"/>
    <n v="2.6"/>
    <n v="2024"/>
    <x v="6"/>
    <x v="0"/>
    <n v="3"/>
  </r>
  <r>
    <s v="Call_8154"/>
    <x v="6"/>
    <x v="2"/>
    <n v="110"/>
    <x v="1"/>
    <x v="276"/>
    <n v="88"/>
    <n v="3.4"/>
    <n v="2024"/>
    <x v="0"/>
    <x v="0"/>
    <n v="3"/>
  </r>
  <r>
    <s v="Call_8155"/>
    <x v="10"/>
    <x v="1"/>
    <n v="41"/>
    <x v="0"/>
    <x v="276"/>
    <n v="140"/>
    <n v="3.7"/>
    <n v="2024"/>
    <x v="0"/>
    <x v="2"/>
    <n v="4"/>
  </r>
  <r>
    <s v="Call_8156"/>
    <x v="6"/>
    <x v="2"/>
    <n v="147"/>
    <x v="1"/>
    <x v="276"/>
    <n v="68"/>
    <n v="2.1"/>
    <n v="2024"/>
    <x v="0"/>
    <x v="1"/>
    <n v="2"/>
  </r>
  <r>
    <s v="Call_8157"/>
    <x v="1"/>
    <x v="0"/>
    <n v="31"/>
    <x v="4"/>
    <x v="277"/>
    <n v="105"/>
    <n v="3.6"/>
    <n v="2024"/>
    <x v="1"/>
    <x v="2"/>
    <n v="4"/>
  </r>
  <r>
    <s v="Call_8158"/>
    <x v="13"/>
    <x v="1"/>
    <n v="142"/>
    <x v="0"/>
    <x v="277"/>
    <n v="40"/>
    <n v="3.8"/>
    <n v="2024"/>
    <x v="1"/>
    <x v="1"/>
    <n v="4"/>
  </r>
  <r>
    <s v="Call_8159"/>
    <x v="9"/>
    <x v="1"/>
    <n v="61"/>
    <x v="0"/>
    <x v="277"/>
    <n v="82"/>
    <n v="3.1"/>
    <n v="2024"/>
    <x v="1"/>
    <x v="0"/>
    <n v="3"/>
  </r>
  <r>
    <s v="Call_8160"/>
    <x v="0"/>
    <x v="0"/>
    <n v="86"/>
    <x v="4"/>
    <x v="278"/>
    <n v="90"/>
    <n v="4.4000000000000004"/>
    <n v="2024"/>
    <x v="2"/>
    <x v="0"/>
    <n v="4"/>
  </r>
  <r>
    <s v="Call_8161"/>
    <x v="2"/>
    <x v="1"/>
    <n v="165"/>
    <x v="3"/>
    <x v="279"/>
    <n v="66"/>
    <n v="4.8"/>
    <n v="2024"/>
    <x v="3"/>
    <x v="1"/>
    <n v="5"/>
  </r>
  <r>
    <s v="Call_8162"/>
    <x v="14"/>
    <x v="2"/>
    <n v="62"/>
    <x v="1"/>
    <x v="279"/>
    <n v="78"/>
    <n v="3.5"/>
    <n v="2024"/>
    <x v="3"/>
    <x v="0"/>
    <n v="4"/>
  </r>
  <r>
    <s v="Call_8163"/>
    <x v="3"/>
    <x v="1"/>
    <n v="103"/>
    <x v="3"/>
    <x v="280"/>
    <n v="66"/>
    <n v="4.4000000000000004"/>
    <n v="2024"/>
    <x v="4"/>
    <x v="0"/>
    <n v="4"/>
  </r>
  <r>
    <s v="Call_8164"/>
    <x v="13"/>
    <x v="1"/>
    <n v="56"/>
    <x v="4"/>
    <x v="281"/>
    <n v="160"/>
    <n v="3.8"/>
    <n v="2024"/>
    <x v="5"/>
    <x v="2"/>
    <n v="4"/>
  </r>
  <r>
    <s v="Call_8165"/>
    <x v="12"/>
    <x v="0"/>
    <n v="114"/>
    <x v="0"/>
    <x v="282"/>
    <n v="144"/>
    <n v="3.8"/>
    <n v="2024"/>
    <x v="6"/>
    <x v="0"/>
    <n v="4"/>
  </r>
  <r>
    <s v="Call_8166"/>
    <x v="13"/>
    <x v="1"/>
    <n v="112"/>
    <x v="2"/>
    <x v="282"/>
    <n v="200"/>
    <n v="4.5999999999999996"/>
    <n v="2024"/>
    <x v="6"/>
    <x v="0"/>
    <n v="5"/>
  </r>
  <r>
    <s v="Call_8167"/>
    <x v="5"/>
    <x v="2"/>
    <n v="52"/>
    <x v="1"/>
    <x v="283"/>
    <n v="220"/>
    <n v="5"/>
    <n v="2024"/>
    <x v="1"/>
    <x v="2"/>
    <n v="5"/>
  </r>
  <r>
    <s v="Call_8168"/>
    <x v="3"/>
    <x v="1"/>
    <n v="105"/>
    <x v="3"/>
    <x v="284"/>
    <n v="112"/>
    <n v="3.2"/>
    <n v="2024"/>
    <x v="2"/>
    <x v="0"/>
    <n v="3"/>
  </r>
  <r>
    <s v="Call_8169"/>
    <x v="2"/>
    <x v="1"/>
    <n v="91"/>
    <x v="4"/>
    <x v="284"/>
    <n v="110"/>
    <n v="3.7"/>
    <n v="2024"/>
    <x v="2"/>
    <x v="0"/>
    <n v="4"/>
  </r>
  <r>
    <s v="Call_8170"/>
    <x v="11"/>
    <x v="2"/>
    <n v="74"/>
    <x v="0"/>
    <x v="285"/>
    <n v="160"/>
    <n v="2.7"/>
    <n v="2024"/>
    <x v="3"/>
    <x v="0"/>
    <n v="3"/>
  </r>
  <r>
    <s v="Call_8171"/>
    <x v="11"/>
    <x v="2"/>
    <n v="30"/>
    <x v="4"/>
    <x v="285"/>
    <n v="84"/>
    <n v="4"/>
    <n v="2024"/>
    <x v="3"/>
    <x v="3"/>
    <n v="4"/>
  </r>
  <r>
    <s v="Call_8172"/>
    <x v="2"/>
    <x v="1"/>
    <n v="56"/>
    <x v="1"/>
    <x v="285"/>
    <n v="124"/>
    <n v="2.6"/>
    <n v="2024"/>
    <x v="3"/>
    <x v="2"/>
    <n v="3"/>
  </r>
  <r>
    <s v="Call_8173"/>
    <x v="11"/>
    <x v="2"/>
    <n v="151"/>
    <x v="2"/>
    <x v="285"/>
    <n v="84"/>
    <n v="4.5999999999999996"/>
    <n v="2024"/>
    <x v="3"/>
    <x v="1"/>
    <n v="5"/>
  </r>
  <r>
    <s v="Call_8174"/>
    <x v="1"/>
    <x v="0"/>
    <n v="108"/>
    <x v="3"/>
    <x v="286"/>
    <n v="130"/>
    <n v="2.7"/>
    <n v="2024"/>
    <x v="4"/>
    <x v="0"/>
    <n v="3"/>
  </r>
  <r>
    <s v="Call_8175"/>
    <x v="12"/>
    <x v="0"/>
    <n v="124"/>
    <x v="0"/>
    <x v="286"/>
    <n v="215"/>
    <n v="3.5"/>
    <n v="2024"/>
    <x v="4"/>
    <x v="1"/>
    <n v="4"/>
  </r>
  <r>
    <s v="Call_8176"/>
    <x v="3"/>
    <x v="1"/>
    <n v="110"/>
    <x v="1"/>
    <x v="287"/>
    <n v="132"/>
    <n v="3.6"/>
    <n v="2024"/>
    <x v="5"/>
    <x v="0"/>
    <n v="4"/>
  </r>
  <r>
    <s v="Call_8177"/>
    <x v="6"/>
    <x v="2"/>
    <n v="89"/>
    <x v="3"/>
    <x v="287"/>
    <n v="88"/>
    <n v="4.9000000000000004"/>
    <n v="2024"/>
    <x v="5"/>
    <x v="0"/>
    <n v="5"/>
  </r>
  <r>
    <s v="Call_8178"/>
    <x v="0"/>
    <x v="0"/>
    <n v="95"/>
    <x v="1"/>
    <x v="287"/>
    <n v="140"/>
    <n v="3.9"/>
    <n v="2024"/>
    <x v="5"/>
    <x v="0"/>
    <n v="4"/>
  </r>
  <r>
    <s v="Call_8179"/>
    <x v="11"/>
    <x v="2"/>
    <n v="84"/>
    <x v="3"/>
    <x v="288"/>
    <n v="66"/>
    <n v="4.7"/>
    <n v="2024"/>
    <x v="6"/>
    <x v="0"/>
    <n v="5"/>
  </r>
  <r>
    <s v="Call_8180"/>
    <x v="8"/>
    <x v="2"/>
    <n v="89"/>
    <x v="0"/>
    <x v="288"/>
    <n v="23"/>
    <n v="4.5"/>
    <n v="2024"/>
    <x v="6"/>
    <x v="0"/>
    <n v="5"/>
  </r>
  <r>
    <s v="Call_8181"/>
    <x v="6"/>
    <x v="2"/>
    <n v="146"/>
    <x v="0"/>
    <x v="289"/>
    <n v="220"/>
    <n v="4.5"/>
    <n v="2024"/>
    <x v="0"/>
    <x v="1"/>
    <n v="5"/>
  </r>
  <r>
    <s v="Call_8182"/>
    <x v="7"/>
    <x v="2"/>
    <n v="62"/>
    <x v="4"/>
    <x v="290"/>
    <n v="175"/>
    <n v="4.4000000000000004"/>
    <n v="2024"/>
    <x v="1"/>
    <x v="0"/>
    <n v="4"/>
  </r>
  <r>
    <s v="Call_8183"/>
    <x v="13"/>
    <x v="1"/>
    <n v="82"/>
    <x v="0"/>
    <x v="290"/>
    <n v="172"/>
    <n v="4.0999999999999996"/>
    <n v="2024"/>
    <x v="1"/>
    <x v="0"/>
    <n v="4"/>
  </r>
  <r>
    <s v="Call_8184"/>
    <x v="9"/>
    <x v="1"/>
    <n v="91"/>
    <x v="2"/>
    <x v="290"/>
    <n v="108"/>
    <n v="3.8"/>
    <n v="2024"/>
    <x v="1"/>
    <x v="0"/>
    <n v="4"/>
  </r>
  <r>
    <s v="Call_8185"/>
    <x v="8"/>
    <x v="2"/>
    <n v="39"/>
    <x v="0"/>
    <x v="291"/>
    <n v="43"/>
    <n v="4.2"/>
    <n v="2024"/>
    <x v="2"/>
    <x v="2"/>
    <n v="4"/>
  </r>
  <r>
    <s v="Call_8186"/>
    <x v="6"/>
    <x v="2"/>
    <n v="149"/>
    <x v="1"/>
    <x v="291"/>
    <n v="44"/>
    <n v="2.2000000000000002"/>
    <n v="2024"/>
    <x v="2"/>
    <x v="1"/>
    <n v="2"/>
  </r>
  <r>
    <s v="Call_8187"/>
    <x v="13"/>
    <x v="1"/>
    <n v="138"/>
    <x v="4"/>
    <x v="291"/>
    <n v="105"/>
    <n v="3.9"/>
    <n v="2024"/>
    <x v="2"/>
    <x v="1"/>
    <n v="4"/>
  </r>
  <r>
    <s v="Call_8188"/>
    <x v="7"/>
    <x v="2"/>
    <n v="113"/>
    <x v="1"/>
    <x v="292"/>
    <n v="34"/>
    <n v="3.9"/>
    <n v="2024"/>
    <x v="3"/>
    <x v="0"/>
    <n v="4"/>
  </r>
  <r>
    <s v="Call_8189"/>
    <x v="4"/>
    <x v="0"/>
    <n v="88"/>
    <x v="0"/>
    <x v="292"/>
    <n v="220"/>
    <n v="4.0999999999999996"/>
    <n v="2024"/>
    <x v="3"/>
    <x v="0"/>
    <n v="4"/>
  </r>
  <r>
    <s v="Call_8190"/>
    <x v="0"/>
    <x v="0"/>
    <n v="64"/>
    <x v="4"/>
    <x v="292"/>
    <n v="225"/>
    <n v="4.5999999999999996"/>
    <n v="2024"/>
    <x v="3"/>
    <x v="0"/>
    <n v="5"/>
  </r>
  <r>
    <s v="Call_8191"/>
    <x v="2"/>
    <x v="1"/>
    <n v="53"/>
    <x v="4"/>
    <x v="293"/>
    <n v="37"/>
    <n v="4.0999999999999996"/>
    <n v="2024"/>
    <x v="4"/>
    <x v="2"/>
    <n v="4"/>
  </r>
  <r>
    <s v="Call_8192"/>
    <x v="12"/>
    <x v="0"/>
    <n v="63"/>
    <x v="1"/>
    <x v="293"/>
    <n v="44"/>
    <n v="5"/>
    <n v="2024"/>
    <x v="4"/>
    <x v="0"/>
    <n v="5"/>
  </r>
  <r>
    <s v="Call_8193"/>
    <x v="5"/>
    <x v="2"/>
    <n v="54"/>
    <x v="1"/>
    <x v="294"/>
    <n v="35"/>
    <n v="2.8"/>
    <n v="2024"/>
    <x v="5"/>
    <x v="2"/>
    <n v="3"/>
  </r>
  <r>
    <s v="Call_8194"/>
    <x v="12"/>
    <x v="0"/>
    <n v="54"/>
    <x v="0"/>
    <x v="294"/>
    <n v="145"/>
    <n v="2.7"/>
    <n v="2024"/>
    <x v="5"/>
    <x v="2"/>
    <n v="3"/>
  </r>
  <r>
    <s v="Call_8195"/>
    <x v="6"/>
    <x v="2"/>
    <n v="71"/>
    <x v="4"/>
    <x v="294"/>
    <n v="64"/>
    <n v="3.9"/>
    <n v="2024"/>
    <x v="5"/>
    <x v="0"/>
    <n v="4"/>
  </r>
  <r>
    <s v="Call_8196"/>
    <x v="12"/>
    <x v="0"/>
    <n v="93"/>
    <x v="0"/>
    <x v="295"/>
    <n v="185"/>
    <n v="4.3"/>
    <n v="2024"/>
    <x v="6"/>
    <x v="0"/>
    <n v="4"/>
  </r>
  <r>
    <s v="Call_8197"/>
    <x v="3"/>
    <x v="1"/>
    <n v="96"/>
    <x v="1"/>
    <x v="295"/>
    <n v="215"/>
    <n v="2.5"/>
    <n v="2024"/>
    <x v="6"/>
    <x v="0"/>
    <n v="3"/>
  </r>
  <r>
    <s v="Call_8198"/>
    <x v="8"/>
    <x v="2"/>
    <n v="31"/>
    <x v="2"/>
    <x v="295"/>
    <n v="88"/>
    <n v="3.4"/>
    <n v="2024"/>
    <x v="6"/>
    <x v="2"/>
    <n v="3"/>
  </r>
  <r>
    <s v="Call_8199"/>
    <x v="12"/>
    <x v="0"/>
    <n v="107"/>
    <x v="4"/>
    <x v="295"/>
    <n v="23"/>
    <n v="3.4"/>
    <n v="2024"/>
    <x v="6"/>
    <x v="0"/>
    <n v="3"/>
  </r>
  <r>
    <s v="Call_8200"/>
    <x v="2"/>
    <x v="1"/>
    <n v="50"/>
    <x v="2"/>
    <x v="296"/>
    <n v="180"/>
    <n v="1.8"/>
    <n v="2024"/>
    <x v="0"/>
    <x v="2"/>
    <n v="2"/>
  </r>
  <r>
    <s v="Call_8201"/>
    <x v="13"/>
    <x v="1"/>
    <n v="69"/>
    <x v="4"/>
    <x v="297"/>
    <n v="225"/>
    <n v="3.7"/>
    <n v="2024"/>
    <x v="1"/>
    <x v="0"/>
    <n v="4"/>
  </r>
  <r>
    <s v="Call_8202"/>
    <x v="4"/>
    <x v="0"/>
    <n v="26"/>
    <x v="1"/>
    <x v="298"/>
    <n v="74"/>
    <n v="4.0999999999999996"/>
    <n v="2024"/>
    <x v="2"/>
    <x v="3"/>
    <n v="4"/>
  </r>
  <r>
    <s v="Call_8203"/>
    <x v="3"/>
    <x v="1"/>
    <n v="158"/>
    <x v="4"/>
    <x v="298"/>
    <n v="36"/>
    <n v="3"/>
    <n v="2024"/>
    <x v="2"/>
    <x v="1"/>
    <n v="3"/>
  </r>
  <r>
    <s v="Call_8204"/>
    <x v="5"/>
    <x v="2"/>
    <n v="99"/>
    <x v="4"/>
    <x v="299"/>
    <n v="116"/>
    <n v="3.9"/>
    <n v="2024"/>
    <x v="4"/>
    <x v="0"/>
    <n v="4"/>
  </r>
  <r>
    <s v="Call_8205"/>
    <x v="3"/>
    <x v="1"/>
    <n v="78"/>
    <x v="2"/>
    <x v="299"/>
    <n v="140"/>
    <n v="4"/>
    <n v="2024"/>
    <x v="4"/>
    <x v="0"/>
    <n v="4"/>
  </r>
  <r>
    <s v="Call_8206"/>
    <x v="3"/>
    <x v="1"/>
    <n v="102"/>
    <x v="1"/>
    <x v="300"/>
    <n v="104"/>
    <n v="4.5"/>
    <n v="2024"/>
    <x v="5"/>
    <x v="0"/>
    <n v="5"/>
  </r>
  <r>
    <s v="Call_8207"/>
    <x v="5"/>
    <x v="2"/>
    <n v="158"/>
    <x v="3"/>
    <x v="300"/>
    <n v="148"/>
    <n v="4"/>
    <n v="2024"/>
    <x v="5"/>
    <x v="1"/>
    <n v="4"/>
  </r>
  <r>
    <s v="Call_8208"/>
    <x v="8"/>
    <x v="2"/>
    <n v="56"/>
    <x v="4"/>
    <x v="300"/>
    <n v="205"/>
    <n v="4.3"/>
    <n v="2024"/>
    <x v="5"/>
    <x v="2"/>
    <n v="4"/>
  </r>
  <r>
    <s v="Call_8209"/>
    <x v="1"/>
    <x v="0"/>
    <n v="17"/>
    <x v="0"/>
    <x v="300"/>
    <n v="210"/>
    <n v="4.8"/>
    <n v="2024"/>
    <x v="5"/>
    <x v="3"/>
    <n v="5"/>
  </r>
  <r>
    <s v="Call_8210"/>
    <x v="4"/>
    <x v="0"/>
    <n v="104"/>
    <x v="3"/>
    <x v="301"/>
    <n v="41"/>
    <n v="4.7"/>
    <n v="2024"/>
    <x v="0"/>
    <x v="0"/>
    <n v="5"/>
  </r>
  <r>
    <s v="Call_8211"/>
    <x v="11"/>
    <x v="2"/>
    <n v="96"/>
    <x v="2"/>
    <x v="301"/>
    <n v="136"/>
    <n v="5"/>
    <n v="2024"/>
    <x v="0"/>
    <x v="0"/>
    <n v="5"/>
  </r>
  <r>
    <s v="Call_8212"/>
    <x v="9"/>
    <x v="1"/>
    <n v="83"/>
    <x v="1"/>
    <x v="302"/>
    <n v="126"/>
    <n v="1.5"/>
    <n v="2024"/>
    <x v="1"/>
    <x v="0"/>
    <n v="2"/>
  </r>
  <r>
    <s v="Call_8213"/>
    <x v="2"/>
    <x v="1"/>
    <n v="80"/>
    <x v="0"/>
    <x v="303"/>
    <n v="148"/>
    <n v="4.0999999999999996"/>
    <n v="2024"/>
    <x v="2"/>
    <x v="0"/>
    <n v="4"/>
  </r>
  <r>
    <s v="Call_8214"/>
    <x v="9"/>
    <x v="1"/>
    <n v="152"/>
    <x v="1"/>
    <x v="303"/>
    <n v="125"/>
    <n v="3.9"/>
    <n v="2024"/>
    <x v="2"/>
    <x v="1"/>
    <n v="4"/>
  </r>
  <r>
    <s v="Call_8215"/>
    <x v="6"/>
    <x v="2"/>
    <n v="34"/>
    <x v="2"/>
    <x v="303"/>
    <n v="25"/>
    <n v="4.0999999999999996"/>
    <n v="2024"/>
    <x v="2"/>
    <x v="2"/>
    <n v="4"/>
  </r>
  <r>
    <s v="Call_8216"/>
    <x v="7"/>
    <x v="2"/>
    <n v="2"/>
    <x v="4"/>
    <x v="304"/>
    <n v="62"/>
    <n v="2.8"/>
    <n v="2024"/>
    <x v="3"/>
    <x v="4"/>
    <n v="3"/>
  </r>
  <r>
    <s v="Call_8217"/>
    <x v="2"/>
    <x v="1"/>
    <n v="140"/>
    <x v="2"/>
    <x v="305"/>
    <n v="90"/>
    <n v="4.5999999999999996"/>
    <n v="2024"/>
    <x v="4"/>
    <x v="1"/>
    <n v="5"/>
  </r>
  <r>
    <s v="Call_8218"/>
    <x v="1"/>
    <x v="0"/>
    <n v="126"/>
    <x v="3"/>
    <x v="306"/>
    <n v="33"/>
    <n v="4.8"/>
    <n v="2024"/>
    <x v="5"/>
    <x v="1"/>
    <n v="5"/>
  </r>
  <r>
    <s v="Call_8219"/>
    <x v="3"/>
    <x v="1"/>
    <n v="79"/>
    <x v="4"/>
    <x v="306"/>
    <n v="115"/>
    <n v="2.2999999999999998"/>
    <n v="2024"/>
    <x v="5"/>
    <x v="0"/>
    <n v="2"/>
  </r>
  <r>
    <s v="Call_8220"/>
    <x v="1"/>
    <x v="0"/>
    <n v="133"/>
    <x v="3"/>
    <x v="306"/>
    <n v="45"/>
    <n v="2.6"/>
    <n v="2024"/>
    <x v="5"/>
    <x v="1"/>
    <n v="3"/>
  </r>
  <r>
    <s v="Call_8221"/>
    <x v="6"/>
    <x v="2"/>
    <n v="97"/>
    <x v="0"/>
    <x v="306"/>
    <n v="114"/>
    <n v="4.8"/>
    <n v="2024"/>
    <x v="5"/>
    <x v="0"/>
    <n v="5"/>
  </r>
  <r>
    <s v="Call_8222"/>
    <x v="3"/>
    <x v="1"/>
    <n v="102"/>
    <x v="1"/>
    <x v="307"/>
    <n v="72"/>
    <n v="3.7"/>
    <n v="2024"/>
    <x v="6"/>
    <x v="0"/>
    <n v="4"/>
  </r>
  <r>
    <s v="Call_8223"/>
    <x v="10"/>
    <x v="1"/>
    <n v="62"/>
    <x v="0"/>
    <x v="307"/>
    <n v="205"/>
    <n v="4.2"/>
    <n v="2024"/>
    <x v="6"/>
    <x v="0"/>
    <n v="4"/>
  </r>
  <r>
    <s v="Call_8224"/>
    <x v="1"/>
    <x v="0"/>
    <n v="149"/>
    <x v="1"/>
    <x v="308"/>
    <n v="42"/>
    <n v="3.3"/>
    <n v="2024"/>
    <x v="0"/>
    <x v="1"/>
    <n v="3"/>
  </r>
  <r>
    <s v="Call_8225"/>
    <x v="7"/>
    <x v="2"/>
    <n v="133"/>
    <x v="0"/>
    <x v="308"/>
    <n v="96"/>
    <n v="4.3"/>
    <n v="2024"/>
    <x v="0"/>
    <x v="1"/>
    <n v="4"/>
  </r>
  <r>
    <s v="Call_8226"/>
    <x v="3"/>
    <x v="1"/>
    <n v="51"/>
    <x v="4"/>
    <x v="308"/>
    <n v="64"/>
    <n v="3.7"/>
    <n v="2024"/>
    <x v="0"/>
    <x v="2"/>
    <n v="4"/>
  </r>
  <r>
    <s v="Call_8227"/>
    <x v="10"/>
    <x v="1"/>
    <n v="110"/>
    <x v="0"/>
    <x v="309"/>
    <n v="72"/>
    <n v="3.7"/>
    <n v="2024"/>
    <x v="1"/>
    <x v="0"/>
    <n v="4"/>
  </r>
  <r>
    <s v="Call_8228"/>
    <x v="6"/>
    <x v="2"/>
    <n v="38"/>
    <x v="3"/>
    <x v="310"/>
    <n v="27"/>
    <n v="3.1"/>
    <n v="2024"/>
    <x v="2"/>
    <x v="2"/>
    <n v="3"/>
  </r>
  <r>
    <s v="Call_8229"/>
    <x v="7"/>
    <x v="2"/>
    <n v="78"/>
    <x v="3"/>
    <x v="311"/>
    <n v="200"/>
    <n v="2.4"/>
    <n v="2024"/>
    <x v="4"/>
    <x v="0"/>
    <n v="2"/>
  </r>
  <r>
    <s v="Call_8230"/>
    <x v="6"/>
    <x v="2"/>
    <n v="25"/>
    <x v="1"/>
    <x v="312"/>
    <n v="93"/>
    <n v="3.5"/>
    <n v="2024"/>
    <x v="5"/>
    <x v="3"/>
    <n v="4"/>
  </r>
  <r>
    <s v="Call_8231"/>
    <x v="12"/>
    <x v="0"/>
    <n v="50"/>
    <x v="4"/>
    <x v="312"/>
    <n v="54"/>
    <n v="4.3"/>
    <n v="2024"/>
    <x v="5"/>
    <x v="2"/>
    <n v="4"/>
  </r>
  <r>
    <s v="Call_8232"/>
    <x v="6"/>
    <x v="2"/>
    <n v="103"/>
    <x v="1"/>
    <x v="313"/>
    <n v="72"/>
    <n v="3.4"/>
    <n v="2024"/>
    <x v="6"/>
    <x v="0"/>
    <n v="3"/>
  </r>
  <r>
    <s v="Call_8233"/>
    <x v="9"/>
    <x v="1"/>
    <n v="63"/>
    <x v="2"/>
    <x v="313"/>
    <n v="82"/>
    <n v="3.7"/>
    <n v="2024"/>
    <x v="6"/>
    <x v="0"/>
    <n v="4"/>
  </r>
  <r>
    <s v="Call_8234"/>
    <x v="12"/>
    <x v="0"/>
    <n v="96"/>
    <x v="4"/>
    <x v="314"/>
    <n v="164"/>
    <n v="4.8"/>
    <n v="2024"/>
    <x v="3"/>
    <x v="0"/>
    <n v="5"/>
  </r>
  <r>
    <s v="Call_8235"/>
    <x v="2"/>
    <x v="1"/>
    <n v="94"/>
    <x v="1"/>
    <x v="314"/>
    <n v="78"/>
    <n v="3.3"/>
    <n v="2024"/>
    <x v="3"/>
    <x v="0"/>
    <n v="3"/>
  </r>
  <r>
    <s v="Call_8236"/>
    <x v="10"/>
    <x v="1"/>
    <n v="46"/>
    <x v="3"/>
    <x v="315"/>
    <n v="135"/>
    <n v="4.2"/>
    <n v="2024"/>
    <x v="4"/>
    <x v="2"/>
    <n v="4"/>
  </r>
  <r>
    <s v="Call_8237"/>
    <x v="14"/>
    <x v="2"/>
    <n v="127"/>
    <x v="4"/>
    <x v="316"/>
    <n v="145"/>
    <n v="2.6"/>
    <n v="2024"/>
    <x v="5"/>
    <x v="1"/>
    <n v="3"/>
  </r>
  <r>
    <s v="Call_8238"/>
    <x v="5"/>
    <x v="2"/>
    <n v="96"/>
    <x v="3"/>
    <x v="316"/>
    <n v="115"/>
    <n v="4.9000000000000004"/>
    <n v="2024"/>
    <x v="5"/>
    <x v="0"/>
    <n v="5"/>
  </r>
  <r>
    <s v="Call_8239"/>
    <x v="13"/>
    <x v="1"/>
    <n v="151"/>
    <x v="1"/>
    <x v="316"/>
    <n v="117"/>
    <n v="2"/>
    <n v="2024"/>
    <x v="5"/>
    <x v="1"/>
    <n v="2"/>
  </r>
  <r>
    <s v="Call_8240"/>
    <x v="14"/>
    <x v="2"/>
    <n v="158"/>
    <x v="0"/>
    <x v="317"/>
    <n v="36"/>
    <n v="4.7"/>
    <n v="2024"/>
    <x v="6"/>
    <x v="1"/>
    <n v="5"/>
  </r>
  <r>
    <s v="Call_8241"/>
    <x v="2"/>
    <x v="1"/>
    <n v="45"/>
    <x v="0"/>
    <x v="317"/>
    <n v="84"/>
    <n v="2.8"/>
    <n v="2024"/>
    <x v="6"/>
    <x v="2"/>
    <n v="3"/>
  </r>
  <r>
    <s v="Call_8242"/>
    <x v="8"/>
    <x v="2"/>
    <n v="141"/>
    <x v="0"/>
    <x v="317"/>
    <n v="66"/>
    <n v="3.2"/>
    <n v="2024"/>
    <x v="6"/>
    <x v="1"/>
    <n v="3"/>
  </r>
  <r>
    <s v="Call_8243"/>
    <x v="6"/>
    <x v="2"/>
    <n v="147"/>
    <x v="3"/>
    <x v="317"/>
    <n v="76"/>
    <n v="4.7"/>
    <n v="2024"/>
    <x v="6"/>
    <x v="1"/>
    <n v="5"/>
  </r>
  <r>
    <s v="Call_8244"/>
    <x v="11"/>
    <x v="2"/>
    <n v="126"/>
    <x v="3"/>
    <x v="317"/>
    <n v="185"/>
    <n v="4.8"/>
    <n v="2024"/>
    <x v="6"/>
    <x v="1"/>
    <n v="5"/>
  </r>
  <r>
    <s v="Call_8245"/>
    <x v="2"/>
    <x v="1"/>
    <n v="126"/>
    <x v="2"/>
    <x v="318"/>
    <n v="80"/>
    <n v="4.7"/>
    <n v="2024"/>
    <x v="0"/>
    <x v="1"/>
    <n v="5"/>
  </r>
  <r>
    <s v="Call_8246"/>
    <x v="7"/>
    <x v="2"/>
    <n v="32"/>
    <x v="3"/>
    <x v="318"/>
    <n v="148"/>
    <n v="4"/>
    <n v="2024"/>
    <x v="0"/>
    <x v="2"/>
    <n v="4"/>
  </r>
  <r>
    <s v="Call_8247"/>
    <x v="2"/>
    <x v="1"/>
    <n v="84"/>
    <x v="4"/>
    <x v="319"/>
    <n v="180"/>
    <n v="4.9000000000000004"/>
    <n v="2024"/>
    <x v="2"/>
    <x v="0"/>
    <n v="5"/>
  </r>
  <r>
    <s v="Call_8248"/>
    <x v="9"/>
    <x v="1"/>
    <n v="120"/>
    <x v="2"/>
    <x v="320"/>
    <n v="190"/>
    <n v="3.7"/>
    <n v="2024"/>
    <x v="3"/>
    <x v="0"/>
    <n v="4"/>
  </r>
  <r>
    <s v="Call_8249"/>
    <x v="4"/>
    <x v="0"/>
    <n v="93"/>
    <x v="3"/>
    <x v="320"/>
    <n v="38"/>
    <n v="4.5"/>
    <n v="2024"/>
    <x v="3"/>
    <x v="0"/>
    <n v="5"/>
  </r>
  <r>
    <s v="Call_8250"/>
    <x v="5"/>
    <x v="2"/>
    <n v="76"/>
    <x v="1"/>
    <x v="321"/>
    <n v="82"/>
    <n v="2.1"/>
    <n v="2024"/>
    <x v="4"/>
    <x v="0"/>
    <n v="2"/>
  </r>
  <r>
    <s v="Call_8251"/>
    <x v="14"/>
    <x v="2"/>
    <n v="89"/>
    <x v="3"/>
    <x v="322"/>
    <n v="88"/>
    <n v="2.8"/>
    <n v="2024"/>
    <x v="0"/>
    <x v="0"/>
    <n v="3"/>
  </r>
  <r>
    <s v="Call_8252"/>
    <x v="3"/>
    <x v="1"/>
    <n v="91"/>
    <x v="4"/>
    <x v="322"/>
    <n v="42"/>
    <n v="4.0999999999999996"/>
    <n v="2024"/>
    <x v="0"/>
    <x v="0"/>
    <n v="4"/>
  </r>
  <r>
    <s v="Call_8253"/>
    <x v="10"/>
    <x v="1"/>
    <n v="7"/>
    <x v="0"/>
    <x v="323"/>
    <n v="64"/>
    <n v="3.3"/>
    <n v="2024"/>
    <x v="1"/>
    <x v="4"/>
    <n v="3"/>
  </r>
  <r>
    <s v="Call_8254"/>
    <x v="7"/>
    <x v="2"/>
    <n v="140"/>
    <x v="0"/>
    <x v="323"/>
    <n v="105"/>
    <n v="1.7"/>
    <n v="2024"/>
    <x v="1"/>
    <x v="1"/>
    <n v="2"/>
  </r>
  <r>
    <s v="Call_8255"/>
    <x v="1"/>
    <x v="0"/>
    <n v="58"/>
    <x v="2"/>
    <x v="323"/>
    <n v="25"/>
    <n v="3.6"/>
    <n v="2024"/>
    <x v="1"/>
    <x v="2"/>
    <n v="4"/>
  </r>
  <r>
    <s v="Call_8256"/>
    <x v="0"/>
    <x v="0"/>
    <n v="90"/>
    <x v="1"/>
    <x v="324"/>
    <n v="176"/>
    <n v="3.6"/>
    <n v="2024"/>
    <x v="2"/>
    <x v="0"/>
    <n v="4"/>
  </r>
  <r>
    <s v="Call_8257"/>
    <x v="0"/>
    <x v="0"/>
    <n v="106"/>
    <x v="3"/>
    <x v="325"/>
    <n v="46"/>
    <n v="4.5999999999999996"/>
    <n v="2024"/>
    <x v="3"/>
    <x v="0"/>
    <n v="5"/>
  </r>
  <r>
    <s v="Call_8258"/>
    <x v="9"/>
    <x v="1"/>
    <n v="72"/>
    <x v="0"/>
    <x v="325"/>
    <n v="164"/>
    <n v="4.8"/>
    <n v="2024"/>
    <x v="3"/>
    <x v="0"/>
    <n v="5"/>
  </r>
  <r>
    <s v="Call_8259"/>
    <x v="10"/>
    <x v="1"/>
    <n v="124"/>
    <x v="0"/>
    <x v="326"/>
    <n v="64"/>
    <n v="4.5"/>
    <n v="2024"/>
    <x v="4"/>
    <x v="1"/>
    <n v="5"/>
  </r>
  <r>
    <s v="Call_8260"/>
    <x v="8"/>
    <x v="2"/>
    <n v="86"/>
    <x v="4"/>
    <x v="326"/>
    <n v="205"/>
    <n v="4.5"/>
    <n v="2024"/>
    <x v="4"/>
    <x v="0"/>
    <n v="5"/>
  </r>
  <r>
    <s v="Call_8261"/>
    <x v="2"/>
    <x v="1"/>
    <n v="164"/>
    <x v="4"/>
    <x v="327"/>
    <n v="100"/>
    <n v="4.5999999999999996"/>
    <n v="2024"/>
    <x v="5"/>
    <x v="1"/>
    <n v="5"/>
  </r>
  <r>
    <s v="Call_8262"/>
    <x v="4"/>
    <x v="0"/>
    <n v="40"/>
    <x v="1"/>
    <x v="327"/>
    <n v="111"/>
    <n v="4.5999999999999996"/>
    <n v="2024"/>
    <x v="5"/>
    <x v="2"/>
    <n v="5"/>
  </r>
  <r>
    <s v="Call_8263"/>
    <x v="3"/>
    <x v="1"/>
    <n v="76"/>
    <x v="2"/>
    <x v="327"/>
    <n v="80"/>
    <n v="3.5"/>
    <n v="2024"/>
    <x v="5"/>
    <x v="0"/>
    <n v="4"/>
  </r>
  <r>
    <s v="Call_8264"/>
    <x v="10"/>
    <x v="1"/>
    <n v="95"/>
    <x v="3"/>
    <x v="327"/>
    <n v="50"/>
    <n v="2.9"/>
    <n v="2024"/>
    <x v="5"/>
    <x v="0"/>
    <n v="3"/>
  </r>
  <r>
    <s v="Call_8265"/>
    <x v="3"/>
    <x v="1"/>
    <n v="113"/>
    <x v="0"/>
    <x v="328"/>
    <n v="165"/>
    <n v="4.7"/>
    <n v="2024"/>
    <x v="6"/>
    <x v="0"/>
    <n v="5"/>
  </r>
  <r>
    <s v="Call_8266"/>
    <x v="8"/>
    <x v="2"/>
    <n v="81"/>
    <x v="0"/>
    <x v="328"/>
    <n v="28"/>
    <n v="3.9"/>
    <n v="2024"/>
    <x v="6"/>
    <x v="0"/>
    <n v="4"/>
  </r>
  <r>
    <s v="Call_8267"/>
    <x v="5"/>
    <x v="2"/>
    <n v="127"/>
    <x v="3"/>
    <x v="328"/>
    <n v="215"/>
    <n v="3.8"/>
    <n v="2024"/>
    <x v="6"/>
    <x v="1"/>
    <n v="4"/>
  </r>
  <r>
    <s v="Call_8268"/>
    <x v="7"/>
    <x v="2"/>
    <n v="146"/>
    <x v="0"/>
    <x v="329"/>
    <n v="115"/>
    <n v="2.2999999999999998"/>
    <n v="2024"/>
    <x v="0"/>
    <x v="1"/>
    <n v="2"/>
  </r>
  <r>
    <s v="Call_8269"/>
    <x v="6"/>
    <x v="2"/>
    <n v="123"/>
    <x v="0"/>
    <x v="329"/>
    <n v="64"/>
    <n v="3.7"/>
    <n v="2024"/>
    <x v="0"/>
    <x v="1"/>
    <n v="4"/>
  </r>
  <r>
    <s v="Call_8270"/>
    <x v="9"/>
    <x v="1"/>
    <n v="114"/>
    <x v="2"/>
    <x v="329"/>
    <n v="40"/>
    <n v="3.9"/>
    <n v="2024"/>
    <x v="0"/>
    <x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D29286-2430-46B9-AD17-DD1A8C1E17F8}" name="Calls By Representative"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Representative">
  <location ref="K31:M37" firstHeaderRow="0" firstDataRow="1" firstDataCol="1"/>
  <pivotFields count="14">
    <pivotField dataField="1" showAll="0"/>
    <pivotField showAll="0">
      <items count="16">
        <item x="13"/>
        <item x="8"/>
        <item x="0"/>
        <item x="1"/>
        <item x="2"/>
        <item x="10"/>
        <item x="5"/>
        <item x="14"/>
        <item x="9"/>
        <item x="6"/>
        <item x="4"/>
        <item x="12"/>
        <item x="7"/>
        <item x="3"/>
        <item x="11"/>
        <item t="default"/>
      </items>
    </pivotField>
    <pivotField showAll="0">
      <items count="4">
        <item x="0"/>
        <item x="2"/>
        <item x="1"/>
        <item t="default"/>
      </items>
    </pivotField>
    <pivotField showAll="0"/>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sortType="descending">
      <items count="8">
        <item x="6"/>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6">
    <i>
      <x/>
    </i>
    <i>
      <x v="1"/>
    </i>
    <i>
      <x v="2"/>
    </i>
    <i>
      <x v="3"/>
    </i>
    <i>
      <x v="4"/>
    </i>
    <i t="grand">
      <x/>
    </i>
  </rowItems>
  <colFields count="1">
    <field x="-2"/>
  </colFields>
  <colItems count="2">
    <i>
      <x/>
    </i>
    <i i="1">
      <x v="1"/>
    </i>
  </colItems>
  <dataFields count="2">
    <dataField name="Total Calls" fld="0" subtotal="count" baseField="9" baseItem="0"/>
    <dataField name="Rating" fld="7" subtotal="average" baseField="4" baseItem="1" numFmtId="43"/>
  </dataFields>
  <formats count="2">
    <format dxfId="531">
      <pivotArea outline="0" collapsedLevelsAreSubtotals="1" fieldPosition="0"/>
    </format>
    <format dxfId="530">
      <pivotArea outline="0" collapsedLevelsAreSubtotals="1" fieldPosition="0">
        <references count="1">
          <reference field="4294967294" count="1" selected="0">
            <x v="1"/>
          </reference>
        </references>
      </pivotArea>
    </format>
  </formats>
  <chartFormats count="2">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4F9234-4E54-4226-8F8F-EB769D7485C4}" name="Min Purchase Amount"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4:K5" firstHeaderRow="1" firstDataRow="1" firstDataCol="0"/>
  <pivotFields count="14">
    <pivotField showAll="0"/>
    <pivotField showAll="0"/>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in Purchase Amount" fld="6" subtotal="min" baseField="0" baseItem="0"/>
  </dataFields>
  <formats count="1">
    <format dxfId="532">
      <pivotArea outline="0" collapsedLevelsAreSubtotals="1"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4177C6-14D0-414F-80DF-C29550D05077}" name="Calls Duration"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4:D5" firstHeaderRow="1" firstDataRow="1" firstDataCol="0"/>
  <pivotFields count="14">
    <pivotField showAll="0"/>
    <pivotField showAll="0"/>
    <pivotField showAll="0"/>
    <pivotField dataField="1"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alls Duration" fld="3" baseField="0" baseItem="0"/>
  </dataFields>
  <formats count="1">
    <format dxfId="533">
      <pivotArea outline="0" collapsedLevelsAreSubtotals="1"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0D6DB8-3EA3-4E59-B830-6560F8F4242A}" name="Min Call Duration"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4:G5" firstHeaderRow="1" firstDataRow="1" firstDataCol="0"/>
  <pivotFields count="14">
    <pivotField showAll="0"/>
    <pivotField showAll="0"/>
    <pivotField showAll="0"/>
    <pivotField dataField="1"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in Call Duration" fld="3" subtotal="min" baseField="0" baseItem="0"/>
  </dataFields>
  <formats count="1">
    <format dxfId="534">
      <pivotArea outline="0" collapsedLevelsAreSubtotals="1"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D99539-CD53-4958-A54F-14CFB170525D}" name="Avg Calls Rating"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4:C5" firstHeaderRow="1" firstDataRow="1" firstDataCol="0"/>
  <pivotFields count="14">
    <pivotField showAll="0"/>
    <pivotField showAll="0"/>
    <pivotField showAll="0">
      <items count="4">
        <item x="0"/>
        <item x="2"/>
        <item x="1"/>
        <item t="default"/>
      </items>
    </pivotField>
    <pivotField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g Rating" fld="7" subtotal="average" baseField="0" baseItem="0" numFmtId="2"/>
  </dataFields>
  <formats count="1">
    <format dxfId="535">
      <pivotArea outline="0" collapsedLevelsAreSubtotals="1"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F182AF-DD28-49A4-9633-C209593477E7}" name="PivotTable12"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location ref="E52:F68" firstHeaderRow="1" firstDataRow="1" firstDataCol="1"/>
  <pivotFields count="14">
    <pivotField showAll="0"/>
    <pivotField axis="axisRow" showAll="0"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v="1"/>
    </i>
    <i>
      <x v="11"/>
    </i>
    <i>
      <x v="2"/>
    </i>
    <i>
      <x v="10"/>
    </i>
    <i>
      <x v="3"/>
    </i>
    <i>
      <x v="4"/>
    </i>
    <i>
      <x v="7"/>
    </i>
    <i>
      <x v="9"/>
    </i>
    <i>
      <x v="6"/>
    </i>
    <i>
      <x v="14"/>
    </i>
    <i>
      <x/>
    </i>
    <i>
      <x v="5"/>
    </i>
    <i>
      <x v="12"/>
    </i>
    <i>
      <x v="13"/>
    </i>
    <i>
      <x v="8"/>
    </i>
    <i t="grand">
      <x/>
    </i>
  </rowItems>
  <colItems count="1">
    <i/>
  </colItems>
  <dataFields count="1">
    <dataField name="Avg Rating" fld="11" subtotal="average" baseField="1" baseItem="0" numFmtId="43"/>
  </dataFields>
  <formats count="1">
    <format dxfId="536">
      <pivotArea outline="0" collapsedLevelsAreSubtotals="1"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A7CFD8-48C4-4FA7-9F00-6579348385B9}" name="Purchase Amount By Customer"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location ref="F9:G25" firstHeaderRow="1" firstDataRow="1" firstDataCol="1"/>
  <pivotFields count="14">
    <pivotField showAll="0"/>
    <pivotField axis="axisRow" showAll="0"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v="4"/>
    </i>
    <i>
      <x v="3"/>
    </i>
    <i>
      <x v="12"/>
    </i>
    <i>
      <x v="6"/>
    </i>
    <i>
      <x v="11"/>
    </i>
    <i>
      <x/>
    </i>
    <i>
      <x v="10"/>
    </i>
    <i>
      <x v="8"/>
    </i>
    <i>
      <x v="14"/>
    </i>
    <i>
      <x v="9"/>
    </i>
    <i>
      <x v="5"/>
    </i>
    <i>
      <x v="1"/>
    </i>
    <i>
      <x v="13"/>
    </i>
    <i>
      <x v="7"/>
    </i>
    <i>
      <x v="2"/>
    </i>
    <i t="grand">
      <x/>
    </i>
  </rowItems>
  <colItems count="1">
    <i/>
  </colItems>
  <dataFields count="1">
    <dataField name="Total Purchase Amount" fld="6" baseField="1" baseItem="0"/>
  </dataFields>
  <formats count="1">
    <format dxfId="537">
      <pivotArea outline="0" collapsedLevelsAreSubtotals="1"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997D59-4588-4644-AE1C-53323785BE31}" name=" Calls Per Month"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ity">
  <location ref="B31:C44" firstHeaderRow="1" firstDataRow="1" firstDataCol="1"/>
  <pivotFields count="14">
    <pivotField dataField="1" showAll="0"/>
    <pivotField showAll="0">
      <items count="16">
        <item x="13"/>
        <item x="8"/>
        <item x="0"/>
        <item x="1"/>
        <item x="2"/>
        <item x="10"/>
        <item x="5"/>
        <item x="14"/>
        <item x="9"/>
        <item x="6"/>
        <item x="4"/>
        <item x="12"/>
        <item x="7"/>
        <item x="3"/>
        <item x="11"/>
        <item t="default"/>
      </items>
    </pivotField>
    <pivotField showAll="0">
      <items count="4">
        <item x="0"/>
        <item x="2"/>
        <item x="1"/>
        <item t="default"/>
      </items>
    </pivotField>
    <pivotField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13"/>
  </rowFields>
  <rowItems count="13">
    <i>
      <x v="3"/>
    </i>
    <i>
      <x v="4"/>
    </i>
    <i>
      <x v="10"/>
    </i>
    <i>
      <x v="5"/>
    </i>
    <i>
      <x v="1"/>
    </i>
    <i>
      <x v="9"/>
    </i>
    <i>
      <x v="6"/>
    </i>
    <i>
      <x v="2"/>
    </i>
    <i>
      <x v="7"/>
    </i>
    <i>
      <x v="11"/>
    </i>
    <i>
      <x v="12"/>
    </i>
    <i>
      <x v="8"/>
    </i>
    <i t="grand">
      <x/>
    </i>
  </rowItems>
  <colItems count="1">
    <i/>
  </colItems>
  <dataFields count="1">
    <dataField name="Total Calls" fld="0" subtotal="count" baseField="13" baseItem="1"/>
  </dataFields>
  <formats count="1">
    <format dxfId="538">
      <pivotArea outline="0" collapsedLevelsAreSubtotals="1"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726D6D-B96B-4D43-8D6E-1D667FD0EA11}" name="Avg Calls Duration"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4:E5" firstHeaderRow="1" firstDataRow="1" firstDataCol="0"/>
  <pivotFields count="14">
    <pivotField showAll="0"/>
    <pivotField showAll="0"/>
    <pivotField showAll="0">
      <items count="4">
        <item x="0"/>
        <item x="2"/>
        <item x="1"/>
        <item t="default"/>
      </items>
    </pivotField>
    <pivotField dataField="1"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g Duration" fld="3" subtotal="average" baseField="0" baseItem="0"/>
  </dataFields>
  <formats count="1">
    <format dxfId="539">
      <pivotArea outline="0" collapsedLevelsAreSubtotals="1"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AD1B2B-D932-49F6-A750-E238CB23E2FF}" name="PivotTable14"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location ref="K52:L68" firstHeaderRow="1" firstDataRow="1" firstDataCol="1"/>
  <pivotFields count="14">
    <pivotField showAll="0"/>
    <pivotField axis="axisRow" showAll="0" sortType="descending">
      <items count="16">
        <item x="11"/>
        <item x="3"/>
        <item x="7"/>
        <item x="12"/>
        <item x="4"/>
        <item x="6"/>
        <item x="9"/>
        <item x="14"/>
        <item x="5"/>
        <item x="10"/>
        <item x="2"/>
        <item x="1"/>
        <item x="0"/>
        <item x="8"/>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v="1"/>
    </i>
    <i>
      <x v="5"/>
    </i>
    <i>
      <x v="12"/>
    </i>
    <i>
      <x v="14"/>
    </i>
    <i>
      <x v="7"/>
    </i>
    <i>
      <x v="9"/>
    </i>
    <i>
      <x v="3"/>
    </i>
    <i>
      <x v="11"/>
    </i>
    <i>
      <x/>
    </i>
    <i>
      <x v="8"/>
    </i>
    <i>
      <x v="2"/>
    </i>
    <i>
      <x v="13"/>
    </i>
    <i>
      <x v="6"/>
    </i>
    <i>
      <x v="10"/>
    </i>
    <i>
      <x v="4"/>
    </i>
    <i t="grand">
      <x/>
    </i>
  </rowItems>
  <colItems count="1">
    <i/>
  </colItems>
  <dataFields count="1">
    <dataField name="Avg Duration" fld="3" subtotal="average" baseField="1" baseItem="0"/>
  </dataFields>
  <formats count="1">
    <format dxfId="540">
      <pivotArea outline="0" collapsedLevelsAreSubtotals="1"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847872-3974-4225-A3F5-17F8C51CF72E}" name="PivotTable11"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location ref="B52:C68" firstHeaderRow="1" firstDataRow="1" firstDataCol="1"/>
  <pivotFields count="14">
    <pivotField dataField="1" showAll="0"/>
    <pivotField axis="axisRow" showAll="0"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v="3"/>
    </i>
    <i>
      <x v="4"/>
    </i>
    <i>
      <x v="10"/>
    </i>
    <i>
      <x v="9"/>
    </i>
    <i>
      <x v="11"/>
    </i>
    <i>
      <x v="8"/>
    </i>
    <i>
      <x v="12"/>
    </i>
    <i>
      <x v="6"/>
    </i>
    <i>
      <x/>
    </i>
    <i>
      <x v="1"/>
    </i>
    <i>
      <x v="5"/>
    </i>
    <i>
      <x v="13"/>
    </i>
    <i>
      <x v="14"/>
    </i>
    <i>
      <x v="7"/>
    </i>
    <i>
      <x v="2"/>
    </i>
    <i t="grand">
      <x/>
    </i>
  </rowItems>
  <colItems count="1">
    <i/>
  </colItems>
  <dataFields count="1">
    <dataField name="Total Calls" fld="0" subtotal="count" baseField="0" baseItem="0" numFmtId="165"/>
  </dataFields>
  <formats count="1">
    <format dxfId="541">
      <pivotArea outline="0" collapsedLevelsAreSubtotals="1" fieldPosition="0"/>
    </format>
  </formats>
  <conditionalFormats count="1">
    <conditionalFormat priority="4">
      <pivotAreas count="1">
        <pivotArea fieldPosition="0">
          <references count="1">
            <reference field="1" count="0"/>
          </references>
        </pivotArea>
      </pivotAreas>
    </conditionalFormat>
  </conditional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52F788-A19E-4ADB-84A5-C650D9C23A00}" name="Calls By Duration Bucket"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Duration_Bucket">
  <location ref="H31:I37" firstHeaderRow="1" firstDataRow="1" firstDataCol="1"/>
  <pivotFields count="14">
    <pivotField dataField="1" showAll="0"/>
    <pivotField showAll="0">
      <items count="16">
        <item x="13"/>
        <item x="8"/>
        <item x="0"/>
        <item x="1"/>
        <item x="2"/>
        <item x="10"/>
        <item x="5"/>
        <item x="14"/>
        <item x="9"/>
        <item x="6"/>
        <item x="4"/>
        <item x="12"/>
        <item x="7"/>
        <item x="3"/>
        <item x="11"/>
        <item t="default"/>
      </items>
    </pivotField>
    <pivotField showAll="0">
      <items count="4">
        <item x="0"/>
        <item x="2"/>
        <item x="1"/>
        <item t="default"/>
      </items>
    </pivotField>
    <pivotField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items count="8">
        <item x="6"/>
        <item x="0"/>
        <item x="1"/>
        <item x="2"/>
        <item x="3"/>
        <item x="4"/>
        <item x="5"/>
        <item t="default"/>
      </items>
    </pivotField>
    <pivotField axis="axisRow" showAll="0" sortType="a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6">
    <i>
      <x/>
    </i>
    <i>
      <x v="3"/>
    </i>
    <i>
      <x v="2"/>
    </i>
    <i>
      <x v="1"/>
    </i>
    <i>
      <x v="4"/>
    </i>
    <i t="grand">
      <x/>
    </i>
  </rowItems>
  <colItems count="1">
    <i/>
  </colItems>
  <dataFields count="1">
    <dataField name="Total Calls" fld="0" subtotal="count" baseField="9" baseItem="0"/>
  </dataFields>
  <formats count="1">
    <format dxfId="542">
      <pivotArea outline="0" collapsedLevelsAreSubtotals="1" fieldPosition="0"/>
    </format>
  </formats>
  <conditionalFormats count="1">
    <conditionalFormat type="all" priority="9">
      <pivotAreas count="1">
        <pivotArea fieldPosition="0">
          <references count="1">
            <reference field="10" count="0"/>
          </references>
        </pivotArea>
      </pivotAreas>
    </conditionalFormat>
  </conditionalFormats>
  <chartFormats count="1">
    <chartFormat chart="2" format="7"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8323526-4FBF-4B3D-905B-BF25C5DEAE44}" name="Avg Purchase Amount"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4:I5" firstHeaderRow="1" firstDataRow="1" firstDataCol="0"/>
  <pivotFields count="14">
    <pivotField showAll="0"/>
    <pivotField showAll="0"/>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g Purchase Amount" fld="6" subtotal="average" baseField="0" baseItem="0"/>
  </dataFields>
  <formats count="1">
    <format dxfId="543">
      <pivotArea outline="0" collapsedLevelsAreSubtotals="1"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7D2F0E-B3EF-4F56-92EE-012E58C0131C}" name="Max Purchase Amount"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4:J5" firstHeaderRow="1" firstDataRow="1" firstDataCol="0"/>
  <pivotFields count="14">
    <pivotField showAll="0"/>
    <pivotField showAll="0"/>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ax Purchase Amount" fld="6" subtotal="max" baseField="0" baseItem="0"/>
  </dataFields>
  <formats count="1">
    <format dxfId="544">
      <pivotArea outline="0" collapsedLevelsAreSubtotals="1"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D8EE13D-7B27-43ED-B3D2-0221BC7CA571}" name="PivotTable13"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location ref="H52:I68" firstHeaderRow="1" firstDataRow="1" firstDataCol="1"/>
  <pivotFields count="14">
    <pivotField showAll="0"/>
    <pivotField axis="axisRow" showAll="0"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v="3"/>
    </i>
    <i>
      <x v="9"/>
    </i>
    <i>
      <x v="4"/>
    </i>
    <i>
      <x v="11"/>
    </i>
    <i>
      <x v="10"/>
    </i>
    <i>
      <x v="12"/>
    </i>
    <i>
      <x/>
    </i>
    <i>
      <x v="13"/>
    </i>
    <i>
      <x v="8"/>
    </i>
    <i>
      <x v="6"/>
    </i>
    <i>
      <x v="5"/>
    </i>
    <i>
      <x v="1"/>
    </i>
    <i>
      <x v="7"/>
    </i>
    <i>
      <x v="14"/>
    </i>
    <i>
      <x v="2"/>
    </i>
    <i t="grand">
      <x/>
    </i>
  </rowItems>
  <colItems count="1">
    <i/>
  </colItems>
  <dataFields count="1">
    <dataField name="Total Duration" fld="3" baseField="1" baseItem="0"/>
  </dataFields>
  <formats count="1">
    <format dxfId="545">
      <pivotArea outline="0" collapsedLevelsAreSubtotals="1" fieldPosition="0"/>
    </format>
  </formats>
  <conditionalFormats count="1">
    <conditionalFormat priority="2">
      <pivotAreas count="1">
        <pivotArea fieldPosition="0">
          <references count="1">
            <reference field="1" count="0"/>
          </references>
        </pivotArea>
      </pivotAreas>
    </conditionalFormat>
  </conditional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6A1DF15-D832-492E-9772-1D13635BCB2E}" name="Total Purchase Amount"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4:H5" firstHeaderRow="1" firstDataRow="1" firstDataCol="0"/>
  <pivotFields count="14">
    <pivotField showAll="0"/>
    <pivotField showAll="0"/>
    <pivotField showAll="0">
      <items count="4">
        <item x="0"/>
        <item x="2"/>
        <item x="1"/>
        <item t="default"/>
      </items>
    </pivotField>
    <pivotField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Purchase Amount " fld="6" baseField="0" baseItem="0"/>
  </dataFields>
  <formats count="1">
    <format dxfId="546">
      <pivotArea outline="0" collapsedLevelsAreSubtotals="1"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E868147-ADBE-4913-83A0-457391A0FD6D}" name="Purchase Amount And Calls Per Month"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Month">
  <location ref="B9:D22" firstHeaderRow="0" firstDataRow="1" firstDataCol="1"/>
  <pivotFields count="14">
    <pivotField dataField="1" showAll="0"/>
    <pivotField showAll="0">
      <items count="16">
        <item x="13"/>
        <item x="8"/>
        <item x="0"/>
        <item x="1"/>
        <item x="2"/>
        <item x="10"/>
        <item x="5"/>
        <item x="14"/>
        <item x="9"/>
        <item x="6"/>
        <item x="4"/>
        <item x="12"/>
        <item x="7"/>
        <item x="3"/>
        <item x="11"/>
        <item t="default"/>
      </items>
    </pivotField>
    <pivotField showAll="0">
      <items count="4">
        <item x="0"/>
        <item x="2"/>
        <item x="1"/>
        <item t="default"/>
      </items>
    </pivotField>
    <pivotField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15">
        <item x="1"/>
        <item x="2"/>
        <item x="3"/>
        <item x="4"/>
        <item x="5"/>
        <item x="6"/>
        <item x="7"/>
        <item x="8"/>
        <item x="9"/>
        <item x="10"/>
        <item x="11"/>
        <item x="12"/>
        <item x="0"/>
        <item x="13"/>
        <item t="default"/>
      </items>
    </pivotField>
  </pivotFields>
  <rowFields count="1">
    <field x="13"/>
  </rowFields>
  <rowItems count="13">
    <i>
      <x/>
    </i>
    <i>
      <x v="1"/>
    </i>
    <i>
      <x v="2"/>
    </i>
    <i>
      <x v="3"/>
    </i>
    <i>
      <x v="4"/>
    </i>
    <i>
      <x v="5"/>
    </i>
    <i>
      <x v="6"/>
    </i>
    <i>
      <x v="7"/>
    </i>
    <i>
      <x v="8"/>
    </i>
    <i>
      <x v="9"/>
    </i>
    <i>
      <x v="10"/>
    </i>
    <i>
      <x v="11"/>
    </i>
    <i t="grand">
      <x/>
    </i>
  </rowItems>
  <colFields count="1">
    <field x="-2"/>
  </colFields>
  <colItems count="2">
    <i>
      <x/>
    </i>
    <i i="1">
      <x v="1"/>
    </i>
  </colItems>
  <dataFields count="2">
    <dataField name="Total Purchase Amount" fld="6" baseField="1" baseItem="0"/>
    <dataField name="Total Calls" fld="0" subtotal="count" baseField="13" baseItem="1"/>
  </dataFields>
  <formats count="1">
    <format dxfId="525">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C120211-3C3E-423C-962D-94A767BD3B7E}" name="Total Calls"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B5" firstHeaderRow="1" firstDataRow="1" firstDataCol="0"/>
  <pivotFields count="14">
    <pivotField dataField="1" showAll="0"/>
    <pivotField showAll="0"/>
    <pivotField showAll="0">
      <items count="4">
        <item x="0"/>
        <item x="2"/>
        <item x="1"/>
        <item t="default"/>
      </items>
    </pivotField>
    <pivotField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alls" fld="0" subtotal="count" baseField="0" baseItem="0" numFmtId="165"/>
  </dataFields>
  <formats count="1">
    <format dxfId="547">
      <pivotArea outline="0" collapsedLevelsAreSubtotals="1"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97EF780-A095-40D6-95A6-40F006F22E59}" name="Max Call Duration"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4:F5" firstHeaderRow="1" firstDataRow="1" firstDataCol="0"/>
  <pivotFields count="14">
    <pivotField showAll="0"/>
    <pivotField showAll="0"/>
    <pivotField showAll="0"/>
    <pivotField dataField="1"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ax Call Duration" fld="3" subtotal="max" baseField="0" baseItem="0"/>
  </dataFields>
  <formats count="1">
    <format dxfId="548">
      <pivotArea outline="0" collapsedLevelsAreSubtotals="1"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70C4E4F-7EFF-43BA-9AF3-702E9D57CFA3}" name="Calls Pey Day"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Day_of_week">
  <location ref="E31:F39" firstHeaderRow="1" firstDataRow="1" firstDataCol="1"/>
  <pivotFields count="14">
    <pivotField dataField="1" showAll="0"/>
    <pivotField showAll="0">
      <items count="16">
        <item x="13"/>
        <item x="8"/>
        <item x="0"/>
        <item x="1"/>
        <item x="2"/>
        <item x="10"/>
        <item x="5"/>
        <item x="14"/>
        <item x="9"/>
        <item x="6"/>
        <item x="4"/>
        <item x="12"/>
        <item x="7"/>
        <item x="3"/>
        <item x="11"/>
        <item t="default"/>
      </items>
    </pivotField>
    <pivotField showAll="0">
      <items count="4">
        <item x="0"/>
        <item x="2"/>
        <item x="1"/>
        <item t="default"/>
      </items>
    </pivotField>
    <pivotField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Row" showAll="0" sortType="descending">
      <items count="8">
        <item x="6"/>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8">
    <i>
      <x/>
    </i>
    <i>
      <x v="4"/>
    </i>
    <i>
      <x v="1"/>
    </i>
    <i>
      <x v="6"/>
    </i>
    <i>
      <x v="3"/>
    </i>
    <i>
      <x v="2"/>
    </i>
    <i>
      <x v="5"/>
    </i>
    <i t="grand">
      <x/>
    </i>
  </rowItems>
  <colItems count="1">
    <i/>
  </colItems>
  <dataFields count="1">
    <dataField name="Total Calls" fld="0" subtotal="count" baseField="9" baseItem="0"/>
  </dataFields>
  <formats count="1">
    <format dxfId="549">
      <pivotArea outline="0" collapsedLevelsAreSubtotals="1" fieldPosition="0"/>
    </format>
  </formats>
  <chartFormats count="1">
    <chartFormat chart="2" format="8"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F2E9636-9B3E-41C3-A485-4C82FC2B5597}" name="Purchase Amount By City"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ity">
  <location ref="I9:J13" firstHeaderRow="1" firstDataRow="1" firstDataCol="1"/>
  <pivotFields count="14">
    <pivotField showAll="0"/>
    <pivotField showAll="0">
      <items count="16">
        <item x="13"/>
        <item x="8"/>
        <item x="0"/>
        <item x="1"/>
        <item x="2"/>
        <item x="10"/>
        <item x="5"/>
        <item x="14"/>
        <item x="9"/>
        <item x="6"/>
        <item x="4"/>
        <item x="12"/>
        <item x="7"/>
        <item x="3"/>
        <item x="11"/>
        <item t="default"/>
      </items>
    </pivotField>
    <pivotField axis="axisRow" showAll="0">
      <items count="4">
        <item x="0"/>
        <item x="2"/>
        <item x="1"/>
        <item t="default"/>
      </items>
    </pivotField>
    <pivotField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Total Purchase Amount" fld="6" showDataAs="percentOfTotal" baseField="1" baseItem="0" numFmtId="9"/>
  </dataFields>
  <formats count="2">
    <format dxfId="527">
      <pivotArea outline="0" fieldPosition="0">
        <references count="1">
          <reference field="4294967294" count="1">
            <x v="0"/>
          </reference>
        </references>
      </pivotArea>
    </format>
    <format dxfId="526">
      <pivotArea outline="0" collapsedLevelsAreSubtotals="1" fieldPosition="0"/>
    </format>
  </formats>
  <chartFormats count="4">
    <chartFormat chart="2" format="25" series="1">
      <pivotArea type="data" outline="0" fieldPosition="0">
        <references count="1">
          <reference field="4294967294" count="1" selected="0">
            <x v="0"/>
          </reference>
        </references>
      </pivotArea>
    </chartFormat>
    <chartFormat chart="2" format="26">
      <pivotArea type="data" outline="0" fieldPosition="0">
        <references count="2">
          <reference field="4294967294" count="1" selected="0">
            <x v="0"/>
          </reference>
          <reference field="2" count="1" selected="0">
            <x v="0"/>
          </reference>
        </references>
      </pivotArea>
    </chartFormat>
    <chartFormat chart="2" format="27">
      <pivotArea type="data" outline="0" fieldPosition="0">
        <references count="2">
          <reference field="4294967294" count="1" selected="0">
            <x v="0"/>
          </reference>
          <reference field="2" count="1" selected="0">
            <x v="1"/>
          </reference>
        </references>
      </pivotArea>
    </chartFormat>
    <chartFormat chart="2" format="28">
      <pivotArea type="data" outline="0" fieldPosition="0">
        <references count="2">
          <reference field="4294967294" count="1" selected="0">
            <x v="0"/>
          </reference>
          <reference field="2" count="1" selected="0">
            <x v="2"/>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95814DC-CB7D-4394-A618-FB54F611941D}" sourceName="Representative">
  <pivotTables>
    <pivotTable tabId="3" name="Purchase Amount And Calls Per Month"/>
    <pivotTable tabId="3" name=" Calls Per Month"/>
    <pivotTable tabId="3" name="Avg Calls Rating"/>
    <pivotTable tabId="3" name="Purchase Amount By City"/>
    <pivotTable tabId="3" name="Total Calls"/>
    <pivotTable tabId="3" name="Total Purchase Amount"/>
    <pivotTable tabId="3" name="Avg Calls Duration"/>
    <pivotTable tabId="3" name="Calls Pey Day"/>
    <pivotTable tabId="3" name="Calls By Duration Bucket"/>
  </pivotTables>
  <data>
    <tabular pivotCacheId="28540356">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B5B9CBB-3CB8-4C44-9BC9-8C819ADF35BA}" sourceName="City">
  <pivotTables>
    <pivotTable tabId="3" name="Purchase Amount And Calls Per Month"/>
    <pivotTable tabId="3" name="Avg Calls Duration"/>
    <pivotTable tabId="3" name="Avg Calls Rating"/>
    <pivotTable tabId="3" name="Calls By Duration Bucket"/>
    <pivotTable tabId="3" name="Calls By Representative"/>
    <pivotTable tabId="3" name="Calls Pey Day"/>
    <pivotTable tabId="3" name="Total Calls"/>
    <pivotTable tabId="3" name="Total Purchase Amount"/>
  </pivotTables>
  <data>
    <tabular pivotCacheId="2854035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CA865B4F-579E-4B0B-A33D-F345629B5835}" cache="Slicer_Representative" caption="Representative" style="SlicerStyleLight3" rowHeight="288000"/>
  <slicer name="City" xr10:uid="{581942C7-DD94-4C79-9E18-29C1511D00D9}" cache="Slicer_City" caption="City" style="SlicerStyleLight3"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O1003" totalsRowShown="0">
  <autoFilter ref="B3:O1003" xr:uid="{A3C59B71-D053-4B57-AB1E-899F1C5F06CA}"/>
  <tableColumns count="14">
    <tableColumn id="1" xr3:uid="{A2AD6D5F-C481-4C4C-930A-923A5754639A}" name="Call number"/>
    <tableColumn id="2" xr3:uid="{6E1FEEB5-4749-4689-ACB4-6B80FABDC996}" name="Customer ID"/>
    <tableColumn id="13" xr3:uid="{28A63085-00D1-42EA-BE2F-F3200A97EF5D}" name="Age" dataDxfId="566">
      <calculatedColumnFormula>VLOOKUP(C4,customers[],3,0)</calculatedColumnFormula>
    </tableColumn>
    <tableColumn id="14" xr3:uid="{890AAB44-E65F-4AE5-8F19-FEC6CB9B1310}" name="Gender" dataDxfId="565">
      <calculatedColumnFormula>VLOOKUP(C4,customers[],2,0)</calculatedColumnFormula>
    </tableColumn>
    <tableColumn id="12" xr3:uid="{9112A1C0-1B4C-457D-9628-D0A1359DC09A}" name="City" dataDxfId="564">
      <calculatedColumnFormula>VLOOKUP(C4,customers[],4,0)</calculatedColumnFormula>
    </tableColumn>
    <tableColumn id="3" xr3:uid="{BEB7BC5B-9542-4200-B3AF-209D2A736D88}" name="Duration"/>
    <tableColumn id="4" xr3:uid="{A1817995-EFD7-4CEA-BF34-093CA60B7490}" name="Representative" dataDxfId="563"/>
    <tableColumn id="5" xr3:uid="{5A35565E-8707-4DED-AD15-A0669D67B382}" name="Date of Call" dataDxfId="562"/>
    <tableColumn id="6" xr3:uid="{F2E4F158-B41F-47BC-8DF8-DFCADFEE4E40}" name="Purchase_Amount"/>
    <tableColumn id="7" xr3:uid="{04B291B5-47BD-4F78-8FD8-D1551CCA6BD9}" name="Satisfaction Rating"/>
    <tableColumn id="8" xr3:uid="{6E4123C0-0B17-43B8-A142-A1E540CE974C}" name="Year" dataDxfId="561">
      <calculatedColumnFormula>IF(MONTH(calls[[#This Row],[Date of Call]])&lt;=6, YEAR(calls[[#This Row],[Date of Call]]), YEAR(calls[[#This Row],[Date of Call]])+1)</calculatedColumnFormula>
    </tableColumn>
    <tableColumn id="9" xr3:uid="{199FA271-5E9B-46CE-9BC6-2801F92CD17E}" name="Day of week" dataDxfId="560">
      <calculatedColumnFormula>TEXT(calls[[#This Row],[Date of Call]],"DDDD")</calculatedColumnFormula>
    </tableColumn>
    <tableColumn id="10" xr3:uid="{328CDB09-95B8-4D5E-9ED9-EF0D363735A1}" name="Duration Bucket" dataDxfId="55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55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T3:W18" totalsRowShown="0" headerRowDxfId="557" headerRowBorderDxfId="556" tableBorderDxfId="555" totalsRowBorderDxfId="554">
  <autoFilter ref="T3:W18" xr:uid="{27158F51-A707-4171-8A04-81FB0AABCBA5}"/>
  <tableColumns count="4">
    <tableColumn id="1" xr3:uid="{02688061-6A8C-4E23-B7FF-D00CD8B58CAC}" name="Customer ID" dataDxfId="553"/>
    <tableColumn id="2" xr3:uid="{771678B6-DB44-426B-9874-B4E421A440D5}" name="Gedner" dataDxfId="552"/>
    <tableColumn id="3" xr3:uid="{B0D41C62-587E-494D-B49A-603F2C05F8D3}" name="Age" dataDxfId="551"/>
    <tableColumn id="4" xr3:uid="{663F92D6-FE31-4D81-9E01-8D066DDC8A88}" name="City" dataDxfId="55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W1003"/>
  <sheetViews>
    <sheetView topLeftCell="C1" zoomScale="115" zoomScaleNormal="115" workbookViewId="0">
      <selection activeCell="N7" sqref="N7"/>
    </sheetView>
  </sheetViews>
  <sheetFormatPr defaultRowHeight="15" x14ac:dyDescent="0.25"/>
  <cols>
    <col min="1" max="1" width="3.25" customWidth="1"/>
    <col min="2" max="2" width="14.625" customWidth="1"/>
    <col min="3" max="6" width="12.875" customWidth="1"/>
    <col min="7" max="7" width="16.625" customWidth="1"/>
    <col min="8" max="8" width="17.75" customWidth="1"/>
    <col min="9" max="9" width="16.125" customWidth="1"/>
    <col min="10" max="10" width="17.25" customWidth="1"/>
    <col min="11" max="11" width="18.375" customWidth="1"/>
    <col min="12" max="12" width="17.25" customWidth="1"/>
    <col min="13" max="15" width="15.5" customWidth="1"/>
    <col min="16" max="19" width="7.5" customWidth="1"/>
    <col min="20" max="20" width="14.625" customWidth="1"/>
    <col min="23" max="23" width="10.625" customWidth="1"/>
  </cols>
  <sheetData>
    <row r="1" spans="2:23" s="4" customFormat="1" ht="48" customHeight="1" x14ac:dyDescent="0.25">
      <c r="B1" s="5" t="s">
        <v>1002</v>
      </c>
    </row>
    <row r="2" spans="2:23" x14ac:dyDescent="0.25">
      <c r="U2" s="1"/>
    </row>
    <row r="3" spans="2:23" x14ac:dyDescent="0.25">
      <c r="B3" s="14" t="s">
        <v>24</v>
      </c>
      <c r="C3" s="14" t="s">
        <v>0</v>
      </c>
      <c r="D3" s="14" t="s">
        <v>995</v>
      </c>
      <c r="E3" s="14" t="s">
        <v>1082</v>
      </c>
      <c r="F3" s="14" t="s">
        <v>996</v>
      </c>
      <c r="G3" s="15" t="s">
        <v>1</v>
      </c>
      <c r="H3" s="16" t="s">
        <v>2</v>
      </c>
      <c r="I3" s="16" t="s">
        <v>3</v>
      </c>
      <c r="J3" s="14" t="s">
        <v>1085</v>
      </c>
      <c r="K3" s="14" t="s">
        <v>993</v>
      </c>
      <c r="L3" t="s">
        <v>1038</v>
      </c>
      <c r="M3" t="s">
        <v>1035</v>
      </c>
      <c r="N3" t="s">
        <v>1036</v>
      </c>
      <c r="O3" t="s">
        <v>1037</v>
      </c>
      <c r="T3" s="8" t="s">
        <v>0</v>
      </c>
      <c r="U3" s="9" t="s">
        <v>994</v>
      </c>
      <c r="V3" s="9" t="s">
        <v>995</v>
      </c>
      <c r="W3" s="10" t="s">
        <v>996</v>
      </c>
    </row>
    <row r="4" spans="2:23" x14ac:dyDescent="0.25">
      <c r="B4" t="s">
        <v>25</v>
      </c>
      <c r="C4" t="s">
        <v>19</v>
      </c>
      <c r="D4">
        <f>VLOOKUP(C4,customers[],3,0)</f>
        <v>26</v>
      </c>
      <c r="E4" t="str">
        <f>VLOOKUP(C4,customers[],2,0)</f>
        <v>Male</v>
      </c>
      <c r="F4" t="str">
        <f>VLOOKUP(C4,customers[],4,0)</f>
        <v>Cincinnati</v>
      </c>
      <c r="G4">
        <v>116</v>
      </c>
      <c r="H4" s="17" t="s">
        <v>9</v>
      </c>
      <c r="I4" s="18">
        <v>44927</v>
      </c>
      <c r="J4">
        <v>128</v>
      </c>
      <c r="K4">
        <v>4.9000000000000004</v>
      </c>
      <c r="L4">
        <f>IF(MONTH(calls[[#This Row],[Date of Call]])&lt;=6, YEAR(calls[[#This Row],[Date of Call]]), YEAR(calls[[#This Row],[Date of Call]])+1)</f>
        <v>2023</v>
      </c>
      <c r="M4" t="str">
        <f>TEXT(calls[[#This Row],[Date of Call]],"DDDD")</f>
        <v>الأحد</v>
      </c>
      <c r="N4" t="str" cm="1">
        <f t="array" ref="N4">_xlfn.IFS(calls[[#This Row],[Duration]]&lt;=10,"Under 10 mins", calls[[#This Row],[Duration]]&lt;=30, "10 to 30 mins", calls[[#This Row],[Duration]]&lt;=60, "30 to 60 mins", calls[[#This Row],[Duration]]&lt;=120, "1 to 2 hours", TRUE, "More than 2 hours")</f>
        <v>1 to 2 hours</v>
      </c>
      <c r="O4">
        <f>ROUND(calls[[#This Row],[Satisfaction Rating]],0)</f>
        <v>5</v>
      </c>
      <c r="T4" s="6" t="s">
        <v>16</v>
      </c>
      <c r="U4" s="3" t="s">
        <v>997</v>
      </c>
      <c r="V4" s="2">
        <v>41</v>
      </c>
      <c r="W4" s="7" t="s">
        <v>999</v>
      </c>
    </row>
    <row r="5" spans="2:23" x14ac:dyDescent="0.25">
      <c r="B5" t="s">
        <v>26</v>
      </c>
      <c r="C5" t="s">
        <v>11</v>
      </c>
      <c r="D5">
        <f>VLOOKUP(C5,customers[],3,0)</f>
        <v>36</v>
      </c>
      <c r="E5" t="str">
        <f>VLOOKUP(C5,customers[],2,0)</f>
        <v>Male</v>
      </c>
      <c r="F5" t="str">
        <f>VLOOKUP(C5,customers[],4,0)</f>
        <v>Cincinnati</v>
      </c>
      <c r="G5">
        <v>119</v>
      </c>
      <c r="H5" s="17" t="s">
        <v>9</v>
      </c>
      <c r="I5" s="18">
        <v>44927</v>
      </c>
      <c r="J5">
        <v>135</v>
      </c>
      <c r="K5">
        <v>2.9</v>
      </c>
      <c r="L5">
        <f>IF(MONTH(calls[[#This Row],[Date of Call]])&lt;=6, YEAR(calls[[#This Row],[Date of Call]]), YEAR(calls[[#This Row],[Date of Call]])+1)</f>
        <v>2023</v>
      </c>
      <c r="M5" t="str">
        <f>TEXT(calls[[#This Row],[Date of Call]],"DDDD")</f>
        <v>الأحد</v>
      </c>
      <c r="N5" t="str" cm="1">
        <f t="array" ref="N5">_xlfn.IFS(calls[[#This Row],[Duration]]&lt;=10,"Under 10 mins", calls[[#This Row],[Duration]]&lt;=30, "10 to 30 mins", calls[[#This Row],[Duration]]&lt;=60, "30 to 60 mins", calls[[#This Row],[Duration]]&lt;=120, "1 to 2 hours", TRUE, "More than 2 hours")</f>
        <v>1 to 2 hours</v>
      </c>
      <c r="O5">
        <f>ROUND(calls[[#This Row],[Satisfaction Rating]],0)</f>
        <v>3</v>
      </c>
      <c r="T5" s="6" t="s">
        <v>23</v>
      </c>
      <c r="U5" s="3" t="s">
        <v>997</v>
      </c>
      <c r="V5" s="2">
        <v>31</v>
      </c>
      <c r="W5" s="7" t="s">
        <v>1000</v>
      </c>
    </row>
    <row r="6" spans="2:23" x14ac:dyDescent="0.25">
      <c r="B6" t="s">
        <v>27</v>
      </c>
      <c r="C6" t="s">
        <v>22</v>
      </c>
      <c r="D6">
        <f>VLOOKUP(C6,customers[],3,0)</f>
        <v>37</v>
      </c>
      <c r="E6" t="str">
        <f>VLOOKUP(C6,customers[],2,0)</f>
        <v>Male</v>
      </c>
      <c r="F6" t="str">
        <f>VLOOKUP(C6,customers[],4,0)</f>
        <v>Columbus</v>
      </c>
      <c r="G6">
        <v>68</v>
      </c>
      <c r="H6" s="17" t="s">
        <v>8</v>
      </c>
      <c r="I6" s="18">
        <v>44927</v>
      </c>
      <c r="J6">
        <v>66</v>
      </c>
      <c r="K6">
        <v>4.7</v>
      </c>
      <c r="L6">
        <f>IF(MONTH(calls[[#This Row],[Date of Call]])&lt;=6, YEAR(calls[[#This Row],[Date of Call]]), YEAR(calls[[#This Row],[Date of Call]])+1)</f>
        <v>2023</v>
      </c>
      <c r="M6" t="str">
        <f>TEXT(calls[[#This Row],[Date of Call]],"DDDD")</f>
        <v>الأحد</v>
      </c>
      <c r="N6" t="str" cm="1">
        <f t="array" ref="N6">_xlfn.IFS(calls[[#This Row],[Duration]]&lt;=10,"Under 10 mins", calls[[#This Row],[Duration]]&lt;=30, "10 to 30 mins", calls[[#This Row],[Duration]]&lt;=60, "30 to 60 mins", calls[[#This Row],[Duration]]&lt;=120, "1 to 2 hours", TRUE, "More than 2 hours")</f>
        <v>1 to 2 hours</v>
      </c>
      <c r="O6">
        <f>ROUND(calls[[#This Row],[Satisfaction Rating]],0)</f>
        <v>5</v>
      </c>
      <c r="T6" s="6" t="s">
        <v>19</v>
      </c>
      <c r="U6" s="3" t="s">
        <v>997</v>
      </c>
      <c r="V6" s="2">
        <v>26</v>
      </c>
      <c r="W6" s="7" t="s">
        <v>1001</v>
      </c>
    </row>
    <row r="7" spans="2:23" x14ac:dyDescent="0.25">
      <c r="B7" t="s">
        <v>28</v>
      </c>
      <c r="C7" t="s">
        <v>20</v>
      </c>
      <c r="D7">
        <f>VLOOKUP(C7,customers[],3,0)</f>
        <v>38</v>
      </c>
      <c r="E7" t="str">
        <f>VLOOKUP(C7,customers[],2,0)</f>
        <v>Female</v>
      </c>
      <c r="F7" t="str">
        <f>VLOOKUP(C7,customers[],4,0)</f>
        <v>Columbus</v>
      </c>
      <c r="G7">
        <v>119</v>
      </c>
      <c r="H7" s="17" t="s">
        <v>8</v>
      </c>
      <c r="I7" s="18">
        <v>44927</v>
      </c>
      <c r="J7">
        <v>22</v>
      </c>
      <c r="K7">
        <v>2.9</v>
      </c>
      <c r="L7">
        <f>IF(MONTH(calls[[#This Row],[Date of Call]])&lt;=6, YEAR(calls[[#This Row],[Date of Call]]), YEAR(calls[[#This Row],[Date of Call]])+1)</f>
        <v>2023</v>
      </c>
      <c r="M7" t="str">
        <f>TEXT(calls[[#This Row],[Date of Call]],"DDDD")</f>
        <v>الأحد</v>
      </c>
      <c r="N7" t="str" cm="1">
        <f t="array" ref="N7">_xlfn.IFS(calls[[#This Row],[Duration]]&lt;=10,"Under 10 mins", calls[[#This Row],[Duration]]&lt;=30, "10 to 30 mins", calls[[#This Row],[Duration]]&lt;=60, "30 to 60 mins", calls[[#This Row],[Duration]]&lt;=120, "1 to 2 hours", TRUE, "More than 2 hours")</f>
        <v>1 to 2 hours</v>
      </c>
      <c r="O7">
        <f>ROUND(calls[[#This Row],[Satisfaction Rating]],0)</f>
        <v>3</v>
      </c>
      <c r="T7" s="6" t="s">
        <v>11</v>
      </c>
      <c r="U7" s="3" t="s">
        <v>997</v>
      </c>
      <c r="V7" s="2">
        <v>36</v>
      </c>
      <c r="W7" s="7" t="s">
        <v>1001</v>
      </c>
    </row>
    <row r="8" spans="2:23" x14ac:dyDescent="0.25">
      <c r="B8" t="s">
        <v>29</v>
      </c>
      <c r="C8" t="s">
        <v>7</v>
      </c>
      <c r="D8">
        <f>VLOOKUP(C8,customers[],3,0)</f>
        <v>30</v>
      </c>
      <c r="E8" t="str">
        <f>VLOOKUP(C8,customers[],2,0)</f>
        <v>Female</v>
      </c>
      <c r="F8" t="str">
        <f>VLOOKUP(C8,customers[],4,0)</f>
        <v>Cincinnati</v>
      </c>
      <c r="G8">
        <v>128</v>
      </c>
      <c r="H8" s="17" t="s">
        <v>10</v>
      </c>
      <c r="I8" s="18">
        <v>44928</v>
      </c>
      <c r="J8">
        <v>31</v>
      </c>
      <c r="K8">
        <v>2.8</v>
      </c>
      <c r="L8">
        <f>IF(MONTH(calls[[#This Row],[Date of Call]])&lt;=6, YEAR(calls[[#This Row],[Date of Call]]), YEAR(calls[[#This Row],[Date of Call]])+1)</f>
        <v>2023</v>
      </c>
      <c r="M8" t="str">
        <f>TEXT(calls[[#This Row],[Date of Call]],"DDDD")</f>
        <v>الإثنين</v>
      </c>
      <c r="N8" t="str" cm="1">
        <f t="array" ref="N8">_xlfn.IFS(calls[[#This Row],[Duration]]&lt;=10,"Under 10 mins", calls[[#This Row],[Duration]]&lt;=30, "10 to 30 mins", calls[[#This Row],[Duration]]&lt;=60, "30 to 60 mins", calls[[#This Row],[Duration]]&lt;=120, "1 to 2 hours", TRUE, "More than 2 hours")</f>
        <v>More than 2 hours</v>
      </c>
      <c r="O8">
        <f>ROUND(calls[[#This Row],[Satisfaction Rating]],0)</f>
        <v>3</v>
      </c>
      <c r="T8" s="6" t="s">
        <v>22</v>
      </c>
      <c r="U8" s="3" t="s">
        <v>997</v>
      </c>
      <c r="V8" s="2">
        <v>37</v>
      </c>
      <c r="W8" s="7" t="s">
        <v>999</v>
      </c>
    </row>
    <row r="9" spans="2:23" x14ac:dyDescent="0.25">
      <c r="B9" t="s">
        <v>30</v>
      </c>
      <c r="C9" t="s">
        <v>7</v>
      </c>
      <c r="D9">
        <f>VLOOKUP(C9,customers[],3,0)</f>
        <v>30</v>
      </c>
      <c r="E9" t="str">
        <f>VLOOKUP(C9,customers[],2,0)</f>
        <v>Female</v>
      </c>
      <c r="F9" t="str">
        <f>VLOOKUP(C9,customers[],4,0)</f>
        <v>Cincinnati</v>
      </c>
      <c r="G9">
        <v>49</v>
      </c>
      <c r="H9" s="17" t="s">
        <v>8</v>
      </c>
      <c r="I9" s="18">
        <v>44929</v>
      </c>
      <c r="J9">
        <v>135</v>
      </c>
      <c r="K9">
        <v>4.8</v>
      </c>
      <c r="L9">
        <f>IF(MONTH(calls[[#This Row],[Date of Call]])&lt;=6, YEAR(calls[[#This Row],[Date of Call]]), YEAR(calls[[#This Row],[Date of Call]])+1)</f>
        <v>2023</v>
      </c>
      <c r="M9" t="str">
        <f>TEXT(calls[[#This Row],[Date of Call]],"DDDD")</f>
        <v>الثلاثاء</v>
      </c>
      <c r="N9" t="str" cm="1">
        <f t="array" ref="N9">_xlfn.IFS(calls[[#This Row],[Duration]]&lt;=10,"Under 10 mins", calls[[#This Row],[Duration]]&lt;=30, "10 to 30 mins", calls[[#This Row],[Duration]]&lt;=60, "30 to 60 mins", calls[[#This Row],[Duration]]&lt;=120, "1 to 2 hours", TRUE, "More than 2 hours")</f>
        <v>30 to 60 mins</v>
      </c>
      <c r="O9">
        <f>ROUND(calls[[#This Row],[Satisfaction Rating]],0)</f>
        <v>5</v>
      </c>
      <c r="T9" s="6" t="s">
        <v>6</v>
      </c>
      <c r="U9" s="3" t="s">
        <v>997</v>
      </c>
      <c r="V9" s="2">
        <v>23</v>
      </c>
      <c r="W9" s="7" t="s">
        <v>999</v>
      </c>
    </row>
    <row r="10" spans="2:23" x14ac:dyDescent="0.25">
      <c r="B10" t="s">
        <v>31</v>
      </c>
      <c r="C10" t="s">
        <v>14</v>
      </c>
      <c r="D10">
        <f>VLOOKUP(C10,customers[],3,0)</f>
        <v>22</v>
      </c>
      <c r="E10" t="str">
        <f>VLOOKUP(C10,customers[],2,0)</f>
        <v>Female</v>
      </c>
      <c r="F10" t="str">
        <f>VLOOKUP(C10,customers[],4,0)</f>
        <v>Cleveland</v>
      </c>
      <c r="G10">
        <v>84</v>
      </c>
      <c r="H10" s="17" t="s">
        <v>9</v>
      </c>
      <c r="I10" s="18">
        <v>44929</v>
      </c>
      <c r="J10">
        <v>60</v>
      </c>
      <c r="K10">
        <v>4.7</v>
      </c>
      <c r="L10">
        <f>IF(MONTH(calls[[#This Row],[Date of Call]])&lt;=6, YEAR(calls[[#This Row],[Date of Call]]), YEAR(calls[[#This Row],[Date of Call]])+1)</f>
        <v>2023</v>
      </c>
      <c r="M10" t="str">
        <f>TEXT(calls[[#This Row],[Date of Call]],"DDDD")</f>
        <v>الثلاثاء</v>
      </c>
      <c r="N10" t="str" cm="1">
        <f t="array" ref="N10">_xlfn.IFS(calls[[#This Row],[Duration]]&lt;=10,"Under 10 mins", calls[[#This Row],[Duration]]&lt;=30, "10 to 30 mins", calls[[#This Row],[Duration]]&lt;=60, "30 to 60 mins", calls[[#This Row],[Duration]]&lt;=120, "1 to 2 hours", TRUE, "More than 2 hours")</f>
        <v>1 to 2 hours</v>
      </c>
      <c r="O10">
        <f>ROUND(calls[[#This Row],[Satisfaction Rating]],0)</f>
        <v>5</v>
      </c>
      <c r="T10" s="6" t="s">
        <v>14</v>
      </c>
      <c r="U10" s="3" t="s">
        <v>998</v>
      </c>
      <c r="V10" s="2">
        <v>22</v>
      </c>
      <c r="W10" s="7" t="s">
        <v>1000</v>
      </c>
    </row>
    <row r="11" spans="2:23" x14ac:dyDescent="0.25">
      <c r="B11" t="s">
        <v>32</v>
      </c>
      <c r="C11" t="s">
        <v>19</v>
      </c>
      <c r="D11">
        <f>VLOOKUP(C11,customers[],3,0)</f>
        <v>26</v>
      </c>
      <c r="E11" t="str">
        <f>VLOOKUP(C11,customers[],2,0)</f>
        <v>Male</v>
      </c>
      <c r="F11" t="str">
        <f>VLOOKUP(C11,customers[],4,0)</f>
        <v>Cincinnati</v>
      </c>
      <c r="G11">
        <v>103</v>
      </c>
      <c r="H11" s="17" t="s">
        <v>12</v>
      </c>
      <c r="I11" s="18">
        <v>44929</v>
      </c>
      <c r="J11">
        <v>148</v>
      </c>
      <c r="K11">
        <v>4.4000000000000004</v>
      </c>
      <c r="L11">
        <f>IF(MONTH(calls[[#This Row],[Date of Call]])&lt;=6, YEAR(calls[[#This Row],[Date of Call]]), YEAR(calls[[#This Row],[Date of Call]])+1)</f>
        <v>2023</v>
      </c>
      <c r="M11" t="str">
        <f>TEXT(calls[[#This Row],[Date of Call]],"DDDD")</f>
        <v>الثلاثاء</v>
      </c>
      <c r="N11" t="str" cm="1">
        <f t="array" ref="N11">_xlfn.IFS(calls[[#This Row],[Duration]]&lt;=10,"Under 10 mins", calls[[#This Row],[Duration]]&lt;=30, "10 to 30 mins", calls[[#This Row],[Duration]]&lt;=60, "30 to 60 mins", calls[[#This Row],[Duration]]&lt;=120, "1 to 2 hours", TRUE, "More than 2 hours")</f>
        <v>1 to 2 hours</v>
      </c>
      <c r="O11">
        <f>ROUND(calls[[#This Row],[Satisfaction Rating]],0)</f>
        <v>4</v>
      </c>
      <c r="T11" s="6" t="s">
        <v>4</v>
      </c>
      <c r="U11" s="3" t="s">
        <v>998</v>
      </c>
      <c r="V11" s="2">
        <v>42</v>
      </c>
      <c r="W11" s="7" t="s">
        <v>1000</v>
      </c>
    </row>
    <row r="12" spans="2:23" x14ac:dyDescent="0.25">
      <c r="B12" t="s">
        <v>33</v>
      </c>
      <c r="C12" t="s">
        <v>22</v>
      </c>
      <c r="D12">
        <f>VLOOKUP(C12,customers[],3,0)</f>
        <v>37</v>
      </c>
      <c r="E12" t="str">
        <f>VLOOKUP(C12,customers[],2,0)</f>
        <v>Male</v>
      </c>
      <c r="F12" t="str">
        <f>VLOOKUP(C12,customers[],4,0)</f>
        <v>Columbus</v>
      </c>
      <c r="G12">
        <v>31</v>
      </c>
      <c r="H12" s="17" t="s">
        <v>8</v>
      </c>
      <c r="I12" s="18">
        <v>44929</v>
      </c>
      <c r="J12">
        <v>135</v>
      </c>
      <c r="K12">
        <v>3.6</v>
      </c>
      <c r="L12">
        <f>IF(MONTH(calls[[#This Row],[Date of Call]])&lt;=6, YEAR(calls[[#This Row],[Date of Call]]), YEAR(calls[[#This Row],[Date of Call]])+1)</f>
        <v>2023</v>
      </c>
      <c r="M12" t="str">
        <f>TEXT(calls[[#This Row],[Date of Call]],"DDDD")</f>
        <v>الثلاثاء</v>
      </c>
      <c r="N12" t="str" cm="1">
        <f t="array" ref="N12">_xlfn.IFS(calls[[#This Row],[Duration]]&lt;=10,"Under 10 mins", calls[[#This Row],[Duration]]&lt;=30, "10 to 30 mins", calls[[#This Row],[Duration]]&lt;=60, "30 to 60 mins", calls[[#This Row],[Duration]]&lt;=120, "1 to 2 hours", TRUE, "More than 2 hours")</f>
        <v>30 to 60 mins</v>
      </c>
      <c r="O12">
        <f>ROUND(calls[[#This Row],[Satisfaction Rating]],0)</f>
        <v>4</v>
      </c>
      <c r="T12" s="6" t="s">
        <v>21</v>
      </c>
      <c r="U12" s="3" t="s">
        <v>998</v>
      </c>
      <c r="V12" s="2">
        <v>25</v>
      </c>
      <c r="W12" s="7" t="s">
        <v>999</v>
      </c>
    </row>
    <row r="13" spans="2:23" x14ac:dyDescent="0.25">
      <c r="B13" t="s">
        <v>34</v>
      </c>
      <c r="C13" t="s">
        <v>17</v>
      </c>
      <c r="D13">
        <f>VLOOKUP(C13,customers[],3,0)</f>
        <v>30</v>
      </c>
      <c r="E13" t="str">
        <f>VLOOKUP(C13,customers[],2,0)</f>
        <v>Female</v>
      </c>
      <c r="F13" t="str">
        <f>VLOOKUP(C13,customers[],4,0)</f>
        <v>Cleveland</v>
      </c>
      <c r="G13">
        <v>44</v>
      </c>
      <c r="H13" s="17" t="s">
        <v>5</v>
      </c>
      <c r="I13" s="18">
        <v>44929</v>
      </c>
      <c r="J13">
        <v>105</v>
      </c>
      <c r="K13">
        <v>2.9</v>
      </c>
      <c r="L13">
        <f>IF(MONTH(calls[[#This Row],[Date of Call]])&lt;=6, YEAR(calls[[#This Row],[Date of Call]]), YEAR(calls[[#This Row],[Date of Call]])+1)</f>
        <v>2023</v>
      </c>
      <c r="M13" t="str">
        <f>TEXT(calls[[#This Row],[Date of Call]],"DDDD")</f>
        <v>الثلاثاء</v>
      </c>
      <c r="N13" t="str" cm="1">
        <f t="array" ref="N13">_xlfn.IFS(calls[[#This Row],[Duration]]&lt;=10,"Under 10 mins", calls[[#This Row],[Duration]]&lt;=30, "10 to 30 mins", calls[[#This Row],[Duration]]&lt;=60, "30 to 60 mins", calls[[#This Row],[Duration]]&lt;=120, "1 to 2 hours", TRUE, "More than 2 hours")</f>
        <v>30 to 60 mins</v>
      </c>
      <c r="O13">
        <f>ROUND(calls[[#This Row],[Satisfaction Rating]],0)</f>
        <v>3</v>
      </c>
      <c r="T13" s="6" t="s">
        <v>17</v>
      </c>
      <c r="U13" s="3" t="s">
        <v>998</v>
      </c>
      <c r="V13" s="2">
        <v>30</v>
      </c>
      <c r="W13" s="7" t="s">
        <v>1000</v>
      </c>
    </row>
    <row r="14" spans="2:23" x14ac:dyDescent="0.25">
      <c r="B14" t="s">
        <v>35</v>
      </c>
      <c r="C14" t="s">
        <v>7</v>
      </c>
      <c r="D14">
        <f>VLOOKUP(C14,customers[],3,0)</f>
        <v>30</v>
      </c>
      <c r="E14" t="str">
        <f>VLOOKUP(C14,customers[],2,0)</f>
        <v>Female</v>
      </c>
      <c r="F14" t="str">
        <f>VLOOKUP(C14,customers[],4,0)</f>
        <v>Cincinnati</v>
      </c>
      <c r="G14">
        <v>102</v>
      </c>
      <c r="H14" s="17" t="s">
        <v>8</v>
      </c>
      <c r="I14" s="18">
        <v>44929</v>
      </c>
      <c r="J14">
        <v>69</v>
      </c>
      <c r="K14">
        <v>4.9000000000000004</v>
      </c>
      <c r="L14">
        <f>IF(MONTH(calls[[#This Row],[Date of Call]])&lt;=6, YEAR(calls[[#This Row],[Date of Call]]), YEAR(calls[[#This Row],[Date of Call]])+1)</f>
        <v>2023</v>
      </c>
      <c r="M14" t="str">
        <f>TEXT(calls[[#This Row],[Date of Call]],"DDDD")</f>
        <v>الثلاثاء</v>
      </c>
      <c r="N14" t="str" cm="1">
        <f t="array" ref="N14">_xlfn.IFS(calls[[#This Row],[Duration]]&lt;=10,"Under 10 mins", calls[[#This Row],[Duration]]&lt;=30, "10 to 30 mins", calls[[#This Row],[Duration]]&lt;=60, "30 to 60 mins", calls[[#This Row],[Duration]]&lt;=120, "1 to 2 hours", TRUE, "More than 2 hours")</f>
        <v>1 to 2 hours</v>
      </c>
      <c r="O14">
        <f>ROUND(calls[[#This Row],[Satisfaction Rating]],0)</f>
        <v>5</v>
      </c>
      <c r="T14" s="6" t="s">
        <v>7</v>
      </c>
      <c r="U14" s="3" t="s">
        <v>998</v>
      </c>
      <c r="V14" s="2">
        <v>30</v>
      </c>
      <c r="W14" s="7" t="s">
        <v>1001</v>
      </c>
    </row>
    <row r="15" spans="2:23" x14ac:dyDescent="0.25">
      <c r="B15" t="s">
        <v>36</v>
      </c>
      <c r="C15" t="s">
        <v>13</v>
      </c>
      <c r="D15">
        <f>VLOOKUP(C15,customers[],3,0)</f>
        <v>37</v>
      </c>
      <c r="E15" t="str">
        <f>VLOOKUP(C15,customers[],2,0)</f>
        <v>Female</v>
      </c>
      <c r="F15" t="str">
        <f>VLOOKUP(C15,customers[],4,0)</f>
        <v>Cleveland</v>
      </c>
      <c r="G15">
        <v>135</v>
      </c>
      <c r="H15" s="17" t="s">
        <v>9</v>
      </c>
      <c r="I15" s="18">
        <v>44929</v>
      </c>
      <c r="J15">
        <v>46</v>
      </c>
      <c r="K15">
        <v>3.4</v>
      </c>
      <c r="L15">
        <f>IF(MONTH(calls[[#This Row],[Date of Call]])&lt;=6, YEAR(calls[[#This Row],[Date of Call]]), YEAR(calls[[#This Row],[Date of Call]])+1)</f>
        <v>2023</v>
      </c>
      <c r="M15" t="str">
        <f>TEXT(calls[[#This Row],[Date of Call]],"DDDD")</f>
        <v>الثلاثاء</v>
      </c>
      <c r="N15" t="str" cm="1">
        <f t="array" ref="N15">_xlfn.IFS(calls[[#This Row],[Duration]]&lt;=10,"Under 10 mins", calls[[#This Row],[Duration]]&lt;=30, "10 to 30 mins", calls[[#This Row],[Duration]]&lt;=60, "30 to 60 mins", calls[[#This Row],[Duration]]&lt;=120, "1 to 2 hours", TRUE, "More than 2 hours")</f>
        <v>More than 2 hours</v>
      </c>
      <c r="O15">
        <f>ROUND(calls[[#This Row],[Satisfaction Rating]],0)</f>
        <v>3</v>
      </c>
      <c r="T15" s="6" t="s">
        <v>15</v>
      </c>
      <c r="U15" s="3" t="s">
        <v>998</v>
      </c>
      <c r="V15" s="2">
        <v>28</v>
      </c>
      <c r="W15" s="7" t="s">
        <v>1001</v>
      </c>
    </row>
    <row r="16" spans="2:23" x14ac:dyDescent="0.25">
      <c r="B16" t="s">
        <v>37</v>
      </c>
      <c r="C16" t="s">
        <v>23</v>
      </c>
      <c r="D16">
        <f>VLOOKUP(C16,customers[],3,0)</f>
        <v>31</v>
      </c>
      <c r="E16" t="str">
        <f>VLOOKUP(C16,customers[],2,0)</f>
        <v>Male</v>
      </c>
      <c r="F16" t="str">
        <f>VLOOKUP(C16,customers[],4,0)</f>
        <v>Cleveland</v>
      </c>
      <c r="G16">
        <v>98</v>
      </c>
      <c r="H16" s="17" t="s">
        <v>8</v>
      </c>
      <c r="I16" s="18">
        <v>44930</v>
      </c>
      <c r="J16">
        <v>108</v>
      </c>
      <c r="K16">
        <v>3.5</v>
      </c>
      <c r="L16">
        <f>IF(MONTH(calls[[#This Row],[Date of Call]])&lt;=6, YEAR(calls[[#This Row],[Date of Call]]), YEAR(calls[[#This Row],[Date of Call]])+1)</f>
        <v>2023</v>
      </c>
      <c r="M16" t="str">
        <f>TEXT(calls[[#This Row],[Date of Call]],"DDDD")</f>
        <v>الأربعاء</v>
      </c>
      <c r="N16" t="str" cm="1">
        <f t="array" ref="N16">_xlfn.IFS(calls[[#This Row],[Duration]]&lt;=10,"Under 10 mins", calls[[#This Row],[Duration]]&lt;=30, "10 to 30 mins", calls[[#This Row],[Duration]]&lt;=60, "30 to 60 mins", calls[[#This Row],[Duration]]&lt;=120, "1 to 2 hours", TRUE, "More than 2 hours")</f>
        <v>1 to 2 hours</v>
      </c>
      <c r="O16">
        <f>ROUND(calls[[#This Row],[Satisfaction Rating]],0)</f>
        <v>4</v>
      </c>
      <c r="T16" s="6" t="s">
        <v>13</v>
      </c>
      <c r="U16" s="3" t="s">
        <v>998</v>
      </c>
      <c r="V16" s="2">
        <v>37</v>
      </c>
      <c r="W16" s="7" t="s">
        <v>1000</v>
      </c>
    </row>
    <row r="17" spans="2:23" x14ac:dyDescent="0.25">
      <c r="B17" t="s">
        <v>38</v>
      </c>
      <c r="C17" t="s">
        <v>17</v>
      </c>
      <c r="D17">
        <f>VLOOKUP(C17,customers[],3,0)</f>
        <v>30</v>
      </c>
      <c r="E17" t="str">
        <f>VLOOKUP(C17,customers[],2,0)</f>
        <v>Female</v>
      </c>
      <c r="F17" t="str">
        <f>VLOOKUP(C17,customers[],4,0)</f>
        <v>Cleveland</v>
      </c>
      <c r="G17">
        <v>139</v>
      </c>
      <c r="H17" s="17" t="s">
        <v>8</v>
      </c>
      <c r="I17" s="18">
        <v>44930</v>
      </c>
      <c r="J17">
        <v>96</v>
      </c>
      <c r="K17">
        <v>4</v>
      </c>
      <c r="L17">
        <f>IF(MONTH(calls[[#This Row],[Date of Call]])&lt;=6, YEAR(calls[[#This Row],[Date of Call]]), YEAR(calls[[#This Row],[Date of Call]])+1)</f>
        <v>2023</v>
      </c>
      <c r="M17" t="str">
        <f>TEXT(calls[[#This Row],[Date of Call]],"DDDD")</f>
        <v>الأربعاء</v>
      </c>
      <c r="N17" t="str" cm="1">
        <f t="array" ref="N17">_xlfn.IFS(calls[[#This Row],[Duration]]&lt;=10,"Under 10 mins", calls[[#This Row],[Duration]]&lt;=30, "10 to 30 mins", calls[[#This Row],[Duration]]&lt;=60, "30 to 60 mins", calls[[#This Row],[Duration]]&lt;=120, "1 to 2 hours", TRUE, "More than 2 hours")</f>
        <v>More than 2 hours</v>
      </c>
      <c r="O17">
        <f>ROUND(calls[[#This Row],[Satisfaction Rating]],0)</f>
        <v>4</v>
      </c>
      <c r="T17" s="6" t="s">
        <v>20</v>
      </c>
      <c r="U17" s="3" t="s">
        <v>998</v>
      </c>
      <c r="V17" s="2">
        <v>38</v>
      </c>
      <c r="W17" s="7" t="s">
        <v>999</v>
      </c>
    </row>
    <row r="18" spans="2:23" x14ac:dyDescent="0.25">
      <c r="B18" t="s">
        <v>39</v>
      </c>
      <c r="C18" t="s">
        <v>13</v>
      </c>
      <c r="D18">
        <f>VLOOKUP(C18,customers[],3,0)</f>
        <v>37</v>
      </c>
      <c r="E18" t="str">
        <f>VLOOKUP(C18,customers[],2,0)</f>
        <v>Female</v>
      </c>
      <c r="F18" t="str">
        <f>VLOOKUP(C18,customers[],4,0)</f>
        <v>Cleveland</v>
      </c>
      <c r="G18">
        <v>48</v>
      </c>
      <c r="H18" s="17" t="s">
        <v>10</v>
      </c>
      <c r="I18" s="18">
        <v>44930</v>
      </c>
      <c r="J18">
        <v>68</v>
      </c>
      <c r="K18">
        <v>4.9000000000000004</v>
      </c>
      <c r="L18">
        <f>IF(MONTH(calls[[#This Row],[Date of Call]])&lt;=6, YEAR(calls[[#This Row],[Date of Call]]), YEAR(calls[[#This Row],[Date of Call]])+1)</f>
        <v>2023</v>
      </c>
      <c r="M18" t="str">
        <f>TEXT(calls[[#This Row],[Date of Call]],"DDDD")</f>
        <v>الأربعاء</v>
      </c>
      <c r="N18" t="str" cm="1">
        <f t="array" ref="N18">_xlfn.IFS(calls[[#This Row],[Duration]]&lt;=10,"Under 10 mins", calls[[#This Row],[Duration]]&lt;=30, "10 to 30 mins", calls[[#This Row],[Duration]]&lt;=60, "30 to 60 mins", calls[[#This Row],[Duration]]&lt;=120, "1 to 2 hours", TRUE, "More than 2 hours")</f>
        <v>30 to 60 mins</v>
      </c>
      <c r="O18">
        <f>ROUND(calls[[#This Row],[Satisfaction Rating]],0)</f>
        <v>5</v>
      </c>
      <c r="T18" s="11" t="s">
        <v>18</v>
      </c>
      <c r="U18" s="19" t="s">
        <v>998</v>
      </c>
      <c r="V18" s="12">
        <v>43</v>
      </c>
      <c r="W18" s="13" t="s">
        <v>1000</v>
      </c>
    </row>
    <row r="19" spans="2:23" x14ac:dyDescent="0.25">
      <c r="B19" t="s">
        <v>40</v>
      </c>
      <c r="C19" t="s">
        <v>17</v>
      </c>
      <c r="D19">
        <f>VLOOKUP(C19,customers[],3,0)</f>
        <v>30</v>
      </c>
      <c r="E19" t="str">
        <f>VLOOKUP(C19,customers[],2,0)</f>
        <v>Female</v>
      </c>
      <c r="F19" t="str">
        <f>VLOOKUP(C19,customers[],4,0)</f>
        <v>Cleveland</v>
      </c>
      <c r="G19">
        <v>176</v>
      </c>
      <c r="H19" s="17" t="s">
        <v>9</v>
      </c>
      <c r="I19" s="18">
        <v>44931</v>
      </c>
      <c r="J19">
        <v>24</v>
      </c>
      <c r="K19">
        <v>4.8</v>
      </c>
      <c r="L19">
        <f>IF(MONTH(calls[[#This Row],[Date of Call]])&lt;=6, YEAR(calls[[#This Row],[Date of Call]]), YEAR(calls[[#This Row],[Date of Call]])+1)</f>
        <v>2023</v>
      </c>
      <c r="M19" t="str">
        <f>TEXT(calls[[#This Row],[Date of Call]],"DDDD")</f>
        <v>الخميس</v>
      </c>
      <c r="N19" t="str" cm="1">
        <f t="array" ref="N19">_xlfn.IFS(calls[[#This Row],[Duration]]&lt;=10,"Under 10 mins", calls[[#This Row],[Duration]]&lt;=30, "10 to 30 mins", calls[[#This Row],[Duration]]&lt;=60, "30 to 60 mins", calls[[#This Row],[Duration]]&lt;=120, "1 to 2 hours", TRUE, "More than 2 hours")</f>
        <v>More than 2 hours</v>
      </c>
      <c r="O19">
        <f>ROUND(calls[[#This Row],[Satisfaction Rating]],0)</f>
        <v>5</v>
      </c>
    </row>
    <row r="20" spans="2:23" x14ac:dyDescent="0.25">
      <c r="B20" t="s">
        <v>41</v>
      </c>
      <c r="C20" t="s">
        <v>17</v>
      </c>
      <c r="D20">
        <f>VLOOKUP(C20,customers[],3,0)</f>
        <v>30</v>
      </c>
      <c r="E20" t="str">
        <f>VLOOKUP(C20,customers[],2,0)</f>
        <v>Female</v>
      </c>
      <c r="F20" t="str">
        <f>VLOOKUP(C20,customers[],4,0)</f>
        <v>Cleveland</v>
      </c>
      <c r="G20">
        <v>99</v>
      </c>
      <c r="H20" s="17" t="s">
        <v>10</v>
      </c>
      <c r="I20" s="18">
        <v>44931</v>
      </c>
      <c r="J20">
        <v>195</v>
      </c>
      <c r="K20">
        <v>3.9</v>
      </c>
      <c r="L20">
        <f>IF(MONTH(calls[[#This Row],[Date of Call]])&lt;=6, YEAR(calls[[#This Row],[Date of Call]]), YEAR(calls[[#This Row],[Date of Call]])+1)</f>
        <v>2023</v>
      </c>
      <c r="M20" t="str">
        <f>TEXT(calls[[#This Row],[Date of Call]],"DDDD")</f>
        <v>الخميس</v>
      </c>
      <c r="N20" t="str" cm="1">
        <f t="array" ref="N20">_xlfn.IFS(calls[[#This Row],[Duration]]&lt;=10,"Under 10 mins", calls[[#This Row],[Duration]]&lt;=30, "10 to 30 mins", calls[[#This Row],[Duration]]&lt;=60, "30 to 60 mins", calls[[#This Row],[Duration]]&lt;=120, "1 to 2 hours", TRUE, "More than 2 hours")</f>
        <v>1 to 2 hours</v>
      </c>
      <c r="O20">
        <f>ROUND(calls[[#This Row],[Satisfaction Rating]],0)</f>
        <v>4</v>
      </c>
    </row>
    <row r="21" spans="2:23" x14ac:dyDescent="0.25">
      <c r="B21" t="s">
        <v>42</v>
      </c>
      <c r="C21" t="s">
        <v>21</v>
      </c>
      <c r="D21">
        <f>VLOOKUP(C21,customers[],3,0)</f>
        <v>25</v>
      </c>
      <c r="E21" t="str">
        <f>VLOOKUP(C21,customers[],2,0)</f>
        <v>Female</v>
      </c>
      <c r="F21" t="str">
        <f>VLOOKUP(C21,customers[],4,0)</f>
        <v>Columbus</v>
      </c>
      <c r="G21">
        <v>28</v>
      </c>
      <c r="H21" s="17" t="s">
        <v>5</v>
      </c>
      <c r="I21" s="18">
        <v>44931</v>
      </c>
      <c r="J21">
        <v>28</v>
      </c>
      <c r="K21">
        <v>3.8</v>
      </c>
      <c r="L21">
        <f>IF(MONTH(calls[[#This Row],[Date of Call]])&lt;=6, YEAR(calls[[#This Row],[Date of Call]]), YEAR(calls[[#This Row],[Date of Call]])+1)</f>
        <v>2023</v>
      </c>
      <c r="M21" t="str">
        <f>TEXT(calls[[#This Row],[Date of Call]],"DDDD")</f>
        <v>الخميس</v>
      </c>
      <c r="N21" t="str" cm="1">
        <f t="array" ref="N21">_xlfn.IFS(calls[[#This Row],[Duration]]&lt;=10,"Under 10 mins", calls[[#This Row],[Duration]]&lt;=30, "10 to 30 mins", calls[[#This Row],[Duration]]&lt;=60, "30 to 60 mins", calls[[#This Row],[Duration]]&lt;=120, "1 to 2 hours", TRUE, "More than 2 hours")</f>
        <v>10 to 30 mins</v>
      </c>
      <c r="O21">
        <f>ROUND(calls[[#This Row],[Satisfaction Rating]],0)</f>
        <v>4</v>
      </c>
    </row>
    <row r="22" spans="2:23" x14ac:dyDescent="0.25">
      <c r="B22" t="s">
        <v>43</v>
      </c>
      <c r="C22" t="s">
        <v>14</v>
      </c>
      <c r="D22">
        <f>VLOOKUP(C22,customers[],3,0)</f>
        <v>22</v>
      </c>
      <c r="E22" t="str">
        <f>VLOOKUP(C22,customers[],2,0)</f>
        <v>Female</v>
      </c>
      <c r="F22" t="str">
        <f>VLOOKUP(C22,customers[],4,0)</f>
        <v>Cleveland</v>
      </c>
      <c r="G22">
        <v>54</v>
      </c>
      <c r="H22" s="17" t="s">
        <v>8</v>
      </c>
      <c r="I22" s="18">
        <v>44931</v>
      </c>
      <c r="J22">
        <v>170</v>
      </c>
      <c r="K22">
        <v>4.3</v>
      </c>
      <c r="L22">
        <f>IF(MONTH(calls[[#This Row],[Date of Call]])&lt;=6, YEAR(calls[[#This Row],[Date of Call]]), YEAR(calls[[#This Row],[Date of Call]])+1)</f>
        <v>2023</v>
      </c>
      <c r="M22" t="str">
        <f>TEXT(calls[[#This Row],[Date of Call]],"DDDD")</f>
        <v>الخميس</v>
      </c>
      <c r="N22" t="str" cm="1">
        <f t="array" ref="N22">_xlfn.IFS(calls[[#This Row],[Duration]]&lt;=10,"Under 10 mins", calls[[#This Row],[Duration]]&lt;=30, "10 to 30 mins", calls[[#This Row],[Duration]]&lt;=60, "30 to 60 mins", calls[[#This Row],[Duration]]&lt;=120, "1 to 2 hours", TRUE, "More than 2 hours")</f>
        <v>30 to 60 mins</v>
      </c>
      <c r="O22">
        <f>ROUND(calls[[#This Row],[Satisfaction Rating]],0)</f>
        <v>4</v>
      </c>
    </row>
    <row r="23" spans="2:23" x14ac:dyDescent="0.25">
      <c r="B23" t="s">
        <v>44</v>
      </c>
      <c r="C23" t="s">
        <v>6</v>
      </c>
      <c r="D23">
        <f>VLOOKUP(C23,customers[],3,0)</f>
        <v>23</v>
      </c>
      <c r="E23" t="str">
        <f>VLOOKUP(C23,customers[],2,0)</f>
        <v>Male</v>
      </c>
      <c r="F23" t="str">
        <f>VLOOKUP(C23,customers[],4,0)</f>
        <v>Columbus</v>
      </c>
      <c r="G23">
        <v>48</v>
      </c>
      <c r="H23" s="17" t="s">
        <v>9</v>
      </c>
      <c r="I23" s="18">
        <v>44932</v>
      </c>
      <c r="J23">
        <v>30</v>
      </c>
      <c r="K23">
        <v>4.4000000000000004</v>
      </c>
      <c r="L23">
        <f>IF(MONTH(calls[[#This Row],[Date of Call]])&lt;=6, YEAR(calls[[#This Row],[Date of Call]]), YEAR(calls[[#This Row],[Date of Call]])+1)</f>
        <v>2023</v>
      </c>
      <c r="M23" t="str">
        <f>TEXT(calls[[#This Row],[Date of Call]],"DDDD")</f>
        <v>الجمعة</v>
      </c>
      <c r="N23" t="str" cm="1">
        <f t="array" ref="N23">_xlfn.IFS(calls[[#This Row],[Duration]]&lt;=10,"Under 10 mins", calls[[#This Row],[Duration]]&lt;=30, "10 to 30 mins", calls[[#This Row],[Duration]]&lt;=60, "30 to 60 mins", calls[[#This Row],[Duration]]&lt;=120, "1 to 2 hours", TRUE, "More than 2 hours")</f>
        <v>30 to 60 mins</v>
      </c>
      <c r="O23">
        <f>ROUND(calls[[#This Row],[Satisfaction Rating]],0)</f>
        <v>4</v>
      </c>
    </row>
    <row r="24" spans="2:23" x14ac:dyDescent="0.25">
      <c r="B24" t="s">
        <v>45</v>
      </c>
      <c r="C24" t="s">
        <v>11</v>
      </c>
      <c r="D24">
        <f>VLOOKUP(C24,customers[],3,0)</f>
        <v>36</v>
      </c>
      <c r="E24" t="str">
        <f>VLOOKUP(C24,customers[],2,0)</f>
        <v>Male</v>
      </c>
      <c r="F24" t="str">
        <f>VLOOKUP(C24,customers[],4,0)</f>
        <v>Cincinnati</v>
      </c>
      <c r="G24">
        <v>128</v>
      </c>
      <c r="H24" s="17" t="s">
        <v>9</v>
      </c>
      <c r="I24" s="18">
        <v>44932</v>
      </c>
      <c r="J24">
        <v>72</v>
      </c>
      <c r="K24">
        <v>5</v>
      </c>
      <c r="L24">
        <f>IF(MONTH(calls[[#This Row],[Date of Call]])&lt;=6, YEAR(calls[[#This Row],[Date of Call]]), YEAR(calls[[#This Row],[Date of Call]])+1)</f>
        <v>2023</v>
      </c>
      <c r="M24" t="str">
        <f>TEXT(calls[[#This Row],[Date of Call]],"DDDD")</f>
        <v>الجمعة</v>
      </c>
      <c r="N24" t="str" cm="1">
        <f t="array" ref="N24">_xlfn.IFS(calls[[#This Row],[Duration]]&lt;=10,"Under 10 mins", calls[[#This Row],[Duration]]&lt;=30, "10 to 30 mins", calls[[#This Row],[Duration]]&lt;=60, "30 to 60 mins", calls[[#This Row],[Duration]]&lt;=120, "1 to 2 hours", TRUE, "More than 2 hours")</f>
        <v>More than 2 hours</v>
      </c>
      <c r="O24">
        <f>ROUND(calls[[#This Row],[Satisfaction Rating]],0)</f>
        <v>5</v>
      </c>
    </row>
    <row r="25" spans="2:23" x14ac:dyDescent="0.25">
      <c r="B25" t="s">
        <v>46</v>
      </c>
      <c r="C25" t="s">
        <v>11</v>
      </c>
      <c r="D25">
        <f>VLOOKUP(C25,customers[],3,0)</f>
        <v>36</v>
      </c>
      <c r="E25" t="str">
        <f>VLOOKUP(C25,customers[],2,0)</f>
        <v>Male</v>
      </c>
      <c r="F25" t="str">
        <f>VLOOKUP(C25,customers[],4,0)</f>
        <v>Cincinnati</v>
      </c>
      <c r="G25">
        <v>38</v>
      </c>
      <c r="H25" s="17" t="s">
        <v>12</v>
      </c>
      <c r="I25" s="18">
        <v>44933</v>
      </c>
      <c r="J25">
        <v>92</v>
      </c>
      <c r="K25">
        <v>4.9000000000000004</v>
      </c>
      <c r="L25">
        <f>IF(MONTH(calls[[#This Row],[Date of Call]])&lt;=6, YEAR(calls[[#This Row],[Date of Call]]), YEAR(calls[[#This Row],[Date of Call]])+1)</f>
        <v>2023</v>
      </c>
      <c r="M25" t="str">
        <f>TEXT(calls[[#This Row],[Date of Call]],"DDDD")</f>
        <v>السبت</v>
      </c>
      <c r="N25" t="str" cm="1">
        <f t="array" ref="N25">_xlfn.IFS(calls[[#This Row],[Duration]]&lt;=10,"Under 10 mins", calls[[#This Row],[Duration]]&lt;=30, "10 to 30 mins", calls[[#This Row],[Duration]]&lt;=60, "30 to 60 mins", calls[[#This Row],[Duration]]&lt;=120, "1 to 2 hours", TRUE, "More than 2 hours")</f>
        <v>30 to 60 mins</v>
      </c>
      <c r="O25">
        <f>ROUND(calls[[#This Row],[Satisfaction Rating]],0)</f>
        <v>5</v>
      </c>
    </row>
    <row r="26" spans="2:23" x14ac:dyDescent="0.25">
      <c r="B26" t="s">
        <v>47</v>
      </c>
      <c r="C26" t="s">
        <v>19</v>
      </c>
      <c r="D26">
        <f>VLOOKUP(C26,customers[],3,0)</f>
        <v>26</v>
      </c>
      <c r="E26" t="str">
        <f>VLOOKUP(C26,customers[],2,0)</f>
        <v>Male</v>
      </c>
      <c r="F26" t="str">
        <f>VLOOKUP(C26,customers[],4,0)</f>
        <v>Cincinnati</v>
      </c>
      <c r="G26">
        <v>67</v>
      </c>
      <c r="H26" s="17" t="s">
        <v>12</v>
      </c>
      <c r="I26" s="18">
        <v>44934</v>
      </c>
      <c r="J26">
        <v>165</v>
      </c>
      <c r="K26">
        <v>4.5</v>
      </c>
      <c r="L26">
        <f>IF(MONTH(calls[[#This Row],[Date of Call]])&lt;=6, YEAR(calls[[#This Row],[Date of Call]]), YEAR(calls[[#This Row],[Date of Call]])+1)</f>
        <v>2023</v>
      </c>
      <c r="M26" t="str">
        <f>TEXT(calls[[#This Row],[Date of Call]],"DDDD")</f>
        <v>الأحد</v>
      </c>
      <c r="N26" t="str" cm="1">
        <f t="array" ref="N26">_xlfn.IFS(calls[[#This Row],[Duration]]&lt;=10,"Under 10 mins", calls[[#This Row],[Duration]]&lt;=30, "10 to 30 mins", calls[[#This Row],[Duration]]&lt;=60, "30 to 60 mins", calls[[#This Row],[Duration]]&lt;=120, "1 to 2 hours", TRUE, "More than 2 hours")</f>
        <v>1 to 2 hours</v>
      </c>
      <c r="O26">
        <f>ROUND(calls[[#This Row],[Satisfaction Rating]],0)</f>
        <v>5</v>
      </c>
    </row>
    <row r="27" spans="2:23" x14ac:dyDescent="0.25">
      <c r="B27" t="s">
        <v>48</v>
      </c>
      <c r="C27" t="s">
        <v>18</v>
      </c>
      <c r="D27">
        <f>VLOOKUP(C27,customers[],3,0)</f>
        <v>43</v>
      </c>
      <c r="E27" t="str">
        <f>VLOOKUP(C27,customers[],2,0)</f>
        <v>Female</v>
      </c>
      <c r="F27" t="str">
        <f>VLOOKUP(C27,customers[],4,0)</f>
        <v>Cleveland</v>
      </c>
      <c r="G27">
        <v>58</v>
      </c>
      <c r="H27" s="17" t="s">
        <v>8</v>
      </c>
      <c r="I27" s="18">
        <v>44934</v>
      </c>
      <c r="J27">
        <v>140</v>
      </c>
      <c r="K27">
        <v>2.1</v>
      </c>
      <c r="L27">
        <f>IF(MONTH(calls[[#This Row],[Date of Call]])&lt;=6, YEAR(calls[[#This Row],[Date of Call]]), YEAR(calls[[#This Row],[Date of Call]])+1)</f>
        <v>2023</v>
      </c>
      <c r="M27" t="str">
        <f>TEXT(calls[[#This Row],[Date of Call]],"DDDD")</f>
        <v>الأحد</v>
      </c>
      <c r="N27" t="str" cm="1">
        <f t="array" ref="N27">_xlfn.IFS(calls[[#This Row],[Duration]]&lt;=10,"Under 10 mins", calls[[#This Row],[Duration]]&lt;=30, "10 to 30 mins", calls[[#This Row],[Duration]]&lt;=60, "30 to 60 mins", calls[[#This Row],[Duration]]&lt;=120, "1 to 2 hours", TRUE, "More than 2 hours")</f>
        <v>30 to 60 mins</v>
      </c>
      <c r="O27">
        <f>ROUND(calls[[#This Row],[Satisfaction Rating]],0)</f>
        <v>2</v>
      </c>
    </row>
    <row r="28" spans="2:23" x14ac:dyDescent="0.25">
      <c r="B28" t="s">
        <v>49</v>
      </c>
      <c r="C28" t="s">
        <v>17</v>
      </c>
      <c r="D28">
        <f>VLOOKUP(C28,customers[],3,0)</f>
        <v>30</v>
      </c>
      <c r="E28" t="str">
        <f>VLOOKUP(C28,customers[],2,0)</f>
        <v>Female</v>
      </c>
      <c r="F28" t="str">
        <f>VLOOKUP(C28,customers[],4,0)</f>
        <v>Cleveland</v>
      </c>
      <c r="G28">
        <v>54</v>
      </c>
      <c r="H28" s="17" t="s">
        <v>10</v>
      </c>
      <c r="I28" s="18">
        <v>44934</v>
      </c>
      <c r="J28">
        <v>111</v>
      </c>
      <c r="K28">
        <v>3.3</v>
      </c>
      <c r="L28">
        <f>IF(MONTH(calls[[#This Row],[Date of Call]])&lt;=6, YEAR(calls[[#This Row],[Date of Call]]), YEAR(calls[[#This Row],[Date of Call]])+1)</f>
        <v>2023</v>
      </c>
      <c r="M28" t="str">
        <f>TEXT(calls[[#This Row],[Date of Call]],"DDDD")</f>
        <v>الأحد</v>
      </c>
      <c r="N28" t="str" cm="1">
        <f t="array" ref="N28">_xlfn.IFS(calls[[#This Row],[Duration]]&lt;=10,"Under 10 mins", calls[[#This Row],[Duration]]&lt;=30, "10 to 30 mins", calls[[#This Row],[Duration]]&lt;=60, "30 to 60 mins", calls[[#This Row],[Duration]]&lt;=120, "1 to 2 hours", TRUE, "More than 2 hours")</f>
        <v>30 to 60 mins</v>
      </c>
      <c r="O28">
        <f>ROUND(calls[[#This Row],[Satisfaction Rating]],0)</f>
        <v>3</v>
      </c>
    </row>
    <row r="29" spans="2:23" x14ac:dyDescent="0.25">
      <c r="B29" t="s">
        <v>50</v>
      </c>
      <c r="C29" t="s">
        <v>15</v>
      </c>
      <c r="D29">
        <f>VLOOKUP(C29,customers[],3,0)</f>
        <v>28</v>
      </c>
      <c r="E29" t="str">
        <f>VLOOKUP(C29,customers[],2,0)</f>
        <v>Female</v>
      </c>
      <c r="F29" t="str">
        <f>VLOOKUP(C29,customers[],4,0)</f>
        <v>Cincinnati</v>
      </c>
      <c r="G29">
        <v>28</v>
      </c>
      <c r="H29" s="17" t="s">
        <v>9</v>
      </c>
      <c r="I29" s="18">
        <v>44935</v>
      </c>
      <c r="J29">
        <v>63</v>
      </c>
      <c r="K29">
        <v>4.0999999999999996</v>
      </c>
      <c r="L29">
        <f>IF(MONTH(calls[[#This Row],[Date of Call]])&lt;=6, YEAR(calls[[#This Row],[Date of Call]]), YEAR(calls[[#This Row],[Date of Call]])+1)</f>
        <v>2023</v>
      </c>
      <c r="M29" t="str">
        <f>TEXT(calls[[#This Row],[Date of Call]],"DDDD")</f>
        <v>الإثنين</v>
      </c>
      <c r="N29" t="str" cm="1">
        <f t="array" ref="N29">_xlfn.IFS(calls[[#This Row],[Duration]]&lt;=10,"Under 10 mins", calls[[#This Row],[Duration]]&lt;=30, "10 to 30 mins", calls[[#This Row],[Duration]]&lt;=60, "30 to 60 mins", calls[[#This Row],[Duration]]&lt;=120, "1 to 2 hours", TRUE, "More than 2 hours")</f>
        <v>10 to 30 mins</v>
      </c>
      <c r="O29">
        <f>ROUND(calls[[#This Row],[Satisfaction Rating]],0)</f>
        <v>4</v>
      </c>
    </row>
    <row r="30" spans="2:23" x14ac:dyDescent="0.25">
      <c r="B30" t="s">
        <v>51</v>
      </c>
      <c r="C30" t="s">
        <v>23</v>
      </c>
      <c r="D30">
        <f>VLOOKUP(C30,customers[],3,0)</f>
        <v>31</v>
      </c>
      <c r="E30" t="str">
        <f>VLOOKUP(C30,customers[],2,0)</f>
        <v>Male</v>
      </c>
      <c r="F30" t="str">
        <f>VLOOKUP(C30,customers[],4,0)</f>
        <v>Cleveland</v>
      </c>
      <c r="G30">
        <v>73</v>
      </c>
      <c r="H30" s="17" t="s">
        <v>9</v>
      </c>
      <c r="I30" s="18">
        <v>44935</v>
      </c>
      <c r="J30">
        <v>80</v>
      </c>
      <c r="K30">
        <v>4.2</v>
      </c>
      <c r="L30">
        <f>IF(MONTH(calls[[#This Row],[Date of Call]])&lt;=6, YEAR(calls[[#This Row],[Date of Call]]), YEAR(calls[[#This Row],[Date of Call]])+1)</f>
        <v>2023</v>
      </c>
      <c r="M30" t="str">
        <f>TEXT(calls[[#This Row],[Date of Call]],"DDDD")</f>
        <v>الإثنين</v>
      </c>
      <c r="N30" t="str" cm="1">
        <f t="array" ref="N30">_xlfn.IFS(calls[[#This Row],[Duration]]&lt;=10,"Under 10 mins", calls[[#This Row],[Duration]]&lt;=30, "10 to 30 mins", calls[[#This Row],[Duration]]&lt;=60, "30 to 60 mins", calls[[#This Row],[Duration]]&lt;=120, "1 to 2 hours", TRUE, "More than 2 hours")</f>
        <v>1 to 2 hours</v>
      </c>
      <c r="O30">
        <f>ROUND(calls[[#This Row],[Satisfaction Rating]],0)</f>
        <v>4</v>
      </c>
    </row>
    <row r="31" spans="2:23" x14ac:dyDescent="0.25">
      <c r="B31" t="s">
        <v>52</v>
      </c>
      <c r="C31" t="s">
        <v>7</v>
      </c>
      <c r="D31">
        <f>VLOOKUP(C31,customers[],3,0)</f>
        <v>30</v>
      </c>
      <c r="E31" t="str">
        <f>VLOOKUP(C31,customers[],2,0)</f>
        <v>Female</v>
      </c>
      <c r="F31" t="str">
        <f>VLOOKUP(C31,customers[],4,0)</f>
        <v>Cincinnati</v>
      </c>
      <c r="G31">
        <v>81</v>
      </c>
      <c r="H31" s="17" t="s">
        <v>9</v>
      </c>
      <c r="I31" s="18">
        <v>44936</v>
      </c>
      <c r="J31">
        <v>50</v>
      </c>
      <c r="K31">
        <v>4.5999999999999996</v>
      </c>
      <c r="L31">
        <f>IF(MONTH(calls[[#This Row],[Date of Call]])&lt;=6, YEAR(calls[[#This Row],[Date of Call]]), YEAR(calls[[#This Row],[Date of Call]])+1)</f>
        <v>2023</v>
      </c>
      <c r="M31" t="str">
        <f>TEXT(calls[[#This Row],[Date of Call]],"DDDD")</f>
        <v>الثلاثاء</v>
      </c>
      <c r="N31" t="str" cm="1">
        <f t="array" ref="N31">_xlfn.IFS(calls[[#This Row],[Duration]]&lt;=10,"Under 10 mins", calls[[#This Row],[Duration]]&lt;=30, "10 to 30 mins", calls[[#This Row],[Duration]]&lt;=60, "30 to 60 mins", calls[[#This Row],[Duration]]&lt;=120, "1 to 2 hours", TRUE, "More than 2 hours")</f>
        <v>1 to 2 hours</v>
      </c>
      <c r="O31">
        <f>ROUND(calls[[#This Row],[Satisfaction Rating]],0)</f>
        <v>5</v>
      </c>
    </row>
    <row r="32" spans="2:23" x14ac:dyDescent="0.25">
      <c r="B32" t="s">
        <v>53</v>
      </c>
      <c r="C32" t="s">
        <v>21</v>
      </c>
      <c r="D32">
        <f>VLOOKUP(C32,customers[],3,0)</f>
        <v>25</v>
      </c>
      <c r="E32" t="str">
        <f>VLOOKUP(C32,customers[],2,0)</f>
        <v>Female</v>
      </c>
      <c r="F32" t="str">
        <f>VLOOKUP(C32,customers[],4,0)</f>
        <v>Columbus</v>
      </c>
      <c r="G32">
        <v>31</v>
      </c>
      <c r="H32" s="17" t="s">
        <v>12</v>
      </c>
      <c r="I32" s="18">
        <v>44936</v>
      </c>
      <c r="J32">
        <v>123</v>
      </c>
      <c r="K32">
        <v>2.9</v>
      </c>
      <c r="L32">
        <f>IF(MONTH(calls[[#This Row],[Date of Call]])&lt;=6, YEAR(calls[[#This Row],[Date of Call]]), YEAR(calls[[#This Row],[Date of Call]])+1)</f>
        <v>2023</v>
      </c>
      <c r="M32" t="str">
        <f>TEXT(calls[[#This Row],[Date of Call]],"DDDD")</f>
        <v>الثلاثاء</v>
      </c>
      <c r="N32" t="str" cm="1">
        <f t="array" ref="N32">_xlfn.IFS(calls[[#This Row],[Duration]]&lt;=10,"Under 10 mins", calls[[#This Row],[Duration]]&lt;=30, "10 to 30 mins", calls[[#This Row],[Duration]]&lt;=60, "30 to 60 mins", calls[[#This Row],[Duration]]&lt;=120, "1 to 2 hours", TRUE, "More than 2 hours")</f>
        <v>30 to 60 mins</v>
      </c>
      <c r="O32">
        <f>ROUND(calls[[#This Row],[Satisfaction Rating]],0)</f>
        <v>3</v>
      </c>
    </row>
    <row r="33" spans="2:15" x14ac:dyDescent="0.25">
      <c r="B33" t="s">
        <v>54</v>
      </c>
      <c r="C33" t="s">
        <v>18</v>
      </c>
      <c r="D33">
        <f>VLOOKUP(C33,customers[],3,0)</f>
        <v>43</v>
      </c>
      <c r="E33" t="str">
        <f>VLOOKUP(C33,customers[],2,0)</f>
        <v>Female</v>
      </c>
      <c r="F33" t="str">
        <f>VLOOKUP(C33,customers[],4,0)</f>
        <v>Cleveland</v>
      </c>
      <c r="G33">
        <v>155</v>
      </c>
      <c r="H33" s="17" t="s">
        <v>10</v>
      </c>
      <c r="I33" s="18">
        <v>44936</v>
      </c>
      <c r="J33">
        <v>110</v>
      </c>
      <c r="K33">
        <v>4.8</v>
      </c>
      <c r="L33">
        <f>IF(MONTH(calls[[#This Row],[Date of Call]])&lt;=6, YEAR(calls[[#This Row],[Date of Call]]), YEAR(calls[[#This Row],[Date of Call]])+1)</f>
        <v>2023</v>
      </c>
      <c r="M33" t="str">
        <f>TEXT(calls[[#This Row],[Date of Call]],"DDDD")</f>
        <v>الثلاثاء</v>
      </c>
      <c r="N33" t="str" cm="1">
        <f t="array" ref="N33">_xlfn.IFS(calls[[#This Row],[Duration]]&lt;=10,"Under 10 mins", calls[[#This Row],[Duration]]&lt;=30, "10 to 30 mins", calls[[#This Row],[Duration]]&lt;=60, "30 to 60 mins", calls[[#This Row],[Duration]]&lt;=120, "1 to 2 hours", TRUE, "More than 2 hours")</f>
        <v>More than 2 hours</v>
      </c>
      <c r="O33">
        <f>ROUND(calls[[#This Row],[Satisfaction Rating]],0)</f>
        <v>5</v>
      </c>
    </row>
    <row r="34" spans="2:15" x14ac:dyDescent="0.25">
      <c r="B34" t="s">
        <v>55</v>
      </c>
      <c r="C34" t="s">
        <v>21</v>
      </c>
      <c r="D34">
        <f>VLOOKUP(C34,customers[],3,0)</f>
        <v>25</v>
      </c>
      <c r="E34" t="str">
        <f>VLOOKUP(C34,customers[],2,0)</f>
        <v>Female</v>
      </c>
      <c r="F34" t="str">
        <f>VLOOKUP(C34,customers[],4,0)</f>
        <v>Columbus</v>
      </c>
      <c r="G34">
        <v>80</v>
      </c>
      <c r="H34" s="17" t="s">
        <v>9</v>
      </c>
      <c r="I34" s="18">
        <v>44936</v>
      </c>
      <c r="J34">
        <v>140</v>
      </c>
      <c r="K34">
        <v>4.2</v>
      </c>
      <c r="L34">
        <f>IF(MONTH(calls[[#This Row],[Date of Call]])&lt;=6, YEAR(calls[[#This Row],[Date of Call]]), YEAR(calls[[#This Row],[Date of Call]])+1)</f>
        <v>2023</v>
      </c>
      <c r="M34" t="str">
        <f>TEXT(calls[[#This Row],[Date of Call]],"DDDD")</f>
        <v>الثلاثاء</v>
      </c>
      <c r="N34" t="str" cm="1">
        <f t="array" ref="N34">_xlfn.IFS(calls[[#This Row],[Duration]]&lt;=10,"Under 10 mins", calls[[#This Row],[Duration]]&lt;=30, "10 to 30 mins", calls[[#This Row],[Duration]]&lt;=60, "30 to 60 mins", calls[[#This Row],[Duration]]&lt;=120, "1 to 2 hours", TRUE, "More than 2 hours")</f>
        <v>1 to 2 hours</v>
      </c>
      <c r="O34">
        <f>ROUND(calls[[#This Row],[Satisfaction Rating]],0)</f>
        <v>4</v>
      </c>
    </row>
    <row r="35" spans="2:15" x14ac:dyDescent="0.25">
      <c r="B35" t="s">
        <v>56</v>
      </c>
      <c r="C35" t="s">
        <v>7</v>
      </c>
      <c r="D35">
        <f>VLOOKUP(C35,customers[],3,0)</f>
        <v>30</v>
      </c>
      <c r="E35" t="str">
        <f>VLOOKUP(C35,customers[],2,0)</f>
        <v>Female</v>
      </c>
      <c r="F35" t="str">
        <f>VLOOKUP(C35,customers[],4,0)</f>
        <v>Cincinnati</v>
      </c>
      <c r="G35">
        <v>82</v>
      </c>
      <c r="H35" s="17" t="s">
        <v>9</v>
      </c>
      <c r="I35" s="18">
        <v>44938</v>
      </c>
      <c r="J35">
        <v>42</v>
      </c>
      <c r="K35">
        <v>3.7</v>
      </c>
      <c r="L35">
        <f>IF(MONTH(calls[[#This Row],[Date of Call]])&lt;=6, YEAR(calls[[#This Row],[Date of Call]]), YEAR(calls[[#This Row],[Date of Call]])+1)</f>
        <v>2023</v>
      </c>
      <c r="M35" t="str">
        <f>TEXT(calls[[#This Row],[Date of Call]],"DDDD")</f>
        <v>الخميس</v>
      </c>
      <c r="N35" t="str" cm="1">
        <f t="array" ref="N35">_xlfn.IFS(calls[[#This Row],[Duration]]&lt;=10,"Under 10 mins", calls[[#This Row],[Duration]]&lt;=30, "10 to 30 mins", calls[[#This Row],[Duration]]&lt;=60, "30 to 60 mins", calls[[#This Row],[Duration]]&lt;=120, "1 to 2 hours", TRUE, "More than 2 hours")</f>
        <v>1 to 2 hours</v>
      </c>
      <c r="O35">
        <f>ROUND(calls[[#This Row],[Satisfaction Rating]],0)</f>
        <v>4</v>
      </c>
    </row>
    <row r="36" spans="2:15" x14ac:dyDescent="0.25">
      <c r="B36" t="s">
        <v>57</v>
      </c>
      <c r="C36" t="s">
        <v>7</v>
      </c>
      <c r="D36">
        <f>VLOOKUP(C36,customers[],3,0)</f>
        <v>30</v>
      </c>
      <c r="E36" t="str">
        <f>VLOOKUP(C36,customers[],2,0)</f>
        <v>Female</v>
      </c>
      <c r="F36" t="str">
        <f>VLOOKUP(C36,customers[],4,0)</f>
        <v>Cincinnati</v>
      </c>
      <c r="G36">
        <v>29</v>
      </c>
      <c r="H36" s="17" t="s">
        <v>10</v>
      </c>
      <c r="I36" s="18">
        <v>44938</v>
      </c>
      <c r="J36">
        <v>170</v>
      </c>
      <c r="K36">
        <v>5</v>
      </c>
      <c r="L36">
        <f>IF(MONTH(calls[[#This Row],[Date of Call]])&lt;=6, YEAR(calls[[#This Row],[Date of Call]]), YEAR(calls[[#This Row],[Date of Call]])+1)</f>
        <v>2023</v>
      </c>
      <c r="M36" t="str">
        <f>TEXT(calls[[#This Row],[Date of Call]],"DDDD")</f>
        <v>الخميس</v>
      </c>
      <c r="N36" t="str" cm="1">
        <f t="array" ref="N36">_xlfn.IFS(calls[[#This Row],[Duration]]&lt;=10,"Under 10 mins", calls[[#This Row],[Duration]]&lt;=30, "10 to 30 mins", calls[[#This Row],[Duration]]&lt;=60, "30 to 60 mins", calls[[#This Row],[Duration]]&lt;=120, "1 to 2 hours", TRUE, "More than 2 hours")</f>
        <v>10 to 30 mins</v>
      </c>
      <c r="O36">
        <f>ROUND(calls[[#This Row],[Satisfaction Rating]],0)</f>
        <v>5</v>
      </c>
    </row>
    <row r="37" spans="2:15" x14ac:dyDescent="0.25">
      <c r="B37" t="s">
        <v>58</v>
      </c>
      <c r="C37" t="s">
        <v>6</v>
      </c>
      <c r="D37">
        <f>VLOOKUP(C37,customers[],3,0)</f>
        <v>23</v>
      </c>
      <c r="E37" t="str">
        <f>VLOOKUP(C37,customers[],2,0)</f>
        <v>Male</v>
      </c>
      <c r="F37" t="str">
        <f>VLOOKUP(C37,customers[],4,0)</f>
        <v>Columbus</v>
      </c>
      <c r="G37">
        <v>160</v>
      </c>
      <c r="H37" s="17" t="s">
        <v>8</v>
      </c>
      <c r="I37" s="18">
        <v>44940</v>
      </c>
      <c r="J37">
        <v>105</v>
      </c>
      <c r="K37">
        <v>5</v>
      </c>
      <c r="L37">
        <f>IF(MONTH(calls[[#This Row],[Date of Call]])&lt;=6, YEAR(calls[[#This Row],[Date of Call]]), YEAR(calls[[#This Row],[Date of Call]])+1)</f>
        <v>2023</v>
      </c>
      <c r="M37" t="str">
        <f>TEXT(calls[[#This Row],[Date of Call]],"DDDD")</f>
        <v>السبت</v>
      </c>
      <c r="N37" t="str" cm="1">
        <f t="array" ref="N37">_xlfn.IFS(calls[[#This Row],[Duration]]&lt;=10,"Under 10 mins", calls[[#This Row],[Duration]]&lt;=30, "10 to 30 mins", calls[[#This Row],[Duration]]&lt;=60, "30 to 60 mins", calls[[#This Row],[Duration]]&lt;=120, "1 to 2 hours", TRUE, "More than 2 hours")</f>
        <v>More than 2 hours</v>
      </c>
      <c r="O37">
        <f>ROUND(calls[[#This Row],[Satisfaction Rating]],0)</f>
        <v>5</v>
      </c>
    </row>
    <row r="38" spans="2:15" x14ac:dyDescent="0.25">
      <c r="B38" t="s">
        <v>59</v>
      </c>
      <c r="C38" t="s">
        <v>16</v>
      </c>
      <c r="D38">
        <f>VLOOKUP(C38,customers[],3,0)</f>
        <v>41</v>
      </c>
      <c r="E38" t="str">
        <f>VLOOKUP(C38,customers[],2,0)</f>
        <v>Male</v>
      </c>
      <c r="F38" t="str">
        <f>VLOOKUP(C38,customers[],4,0)</f>
        <v>Columbus</v>
      </c>
      <c r="G38">
        <v>105</v>
      </c>
      <c r="H38" s="17" t="s">
        <v>9</v>
      </c>
      <c r="I38" s="18">
        <v>44941</v>
      </c>
      <c r="J38">
        <v>125</v>
      </c>
      <c r="K38">
        <v>4.8</v>
      </c>
      <c r="L38">
        <f>IF(MONTH(calls[[#This Row],[Date of Call]])&lt;=6, YEAR(calls[[#This Row],[Date of Call]]), YEAR(calls[[#This Row],[Date of Call]])+1)</f>
        <v>2023</v>
      </c>
      <c r="M38" t="str">
        <f>TEXT(calls[[#This Row],[Date of Call]],"DDDD")</f>
        <v>الأحد</v>
      </c>
      <c r="N38" t="str" cm="1">
        <f t="array" ref="N38">_xlfn.IFS(calls[[#This Row],[Duration]]&lt;=10,"Under 10 mins", calls[[#This Row],[Duration]]&lt;=30, "10 to 30 mins", calls[[#This Row],[Duration]]&lt;=60, "30 to 60 mins", calls[[#This Row],[Duration]]&lt;=120, "1 to 2 hours", TRUE, "More than 2 hours")</f>
        <v>1 to 2 hours</v>
      </c>
      <c r="O38">
        <f>ROUND(calls[[#This Row],[Satisfaction Rating]],0)</f>
        <v>5</v>
      </c>
    </row>
    <row r="39" spans="2:15" x14ac:dyDescent="0.25">
      <c r="B39" t="s">
        <v>60</v>
      </c>
      <c r="C39" t="s">
        <v>21</v>
      </c>
      <c r="D39">
        <f>VLOOKUP(C39,customers[],3,0)</f>
        <v>25</v>
      </c>
      <c r="E39" t="str">
        <f>VLOOKUP(C39,customers[],2,0)</f>
        <v>Female</v>
      </c>
      <c r="F39" t="str">
        <f>VLOOKUP(C39,customers[],4,0)</f>
        <v>Columbus</v>
      </c>
      <c r="G39">
        <v>75</v>
      </c>
      <c r="H39" s="17" t="s">
        <v>5</v>
      </c>
      <c r="I39" s="18">
        <v>44941</v>
      </c>
      <c r="J39">
        <v>26</v>
      </c>
      <c r="K39">
        <v>2.4</v>
      </c>
      <c r="L39">
        <f>IF(MONTH(calls[[#This Row],[Date of Call]])&lt;=6, YEAR(calls[[#This Row],[Date of Call]]), YEAR(calls[[#This Row],[Date of Call]])+1)</f>
        <v>2023</v>
      </c>
      <c r="M39" t="str">
        <f>TEXT(calls[[#This Row],[Date of Call]],"DDDD")</f>
        <v>الأحد</v>
      </c>
      <c r="N39" t="str" cm="1">
        <f t="array" ref="N39">_xlfn.IFS(calls[[#This Row],[Duration]]&lt;=10,"Under 10 mins", calls[[#This Row],[Duration]]&lt;=30, "10 to 30 mins", calls[[#This Row],[Duration]]&lt;=60, "30 to 60 mins", calls[[#This Row],[Duration]]&lt;=120, "1 to 2 hours", TRUE, "More than 2 hours")</f>
        <v>1 to 2 hours</v>
      </c>
      <c r="O39">
        <f>ROUND(calls[[#This Row],[Satisfaction Rating]],0)</f>
        <v>2</v>
      </c>
    </row>
    <row r="40" spans="2:15" x14ac:dyDescent="0.25">
      <c r="B40" t="s">
        <v>61</v>
      </c>
      <c r="C40" t="s">
        <v>18</v>
      </c>
      <c r="D40">
        <f>VLOOKUP(C40,customers[],3,0)</f>
        <v>43</v>
      </c>
      <c r="E40" t="str">
        <f>VLOOKUP(C40,customers[],2,0)</f>
        <v>Female</v>
      </c>
      <c r="F40" t="str">
        <f>VLOOKUP(C40,customers[],4,0)</f>
        <v>Cleveland</v>
      </c>
      <c r="G40">
        <v>94</v>
      </c>
      <c r="H40" s="17" t="s">
        <v>5</v>
      </c>
      <c r="I40" s="18">
        <v>44942</v>
      </c>
      <c r="J40">
        <v>120</v>
      </c>
      <c r="K40">
        <v>3.1</v>
      </c>
      <c r="L40">
        <f>IF(MONTH(calls[[#This Row],[Date of Call]])&lt;=6, YEAR(calls[[#This Row],[Date of Call]]), YEAR(calls[[#This Row],[Date of Call]])+1)</f>
        <v>2023</v>
      </c>
      <c r="M40" t="str">
        <f>TEXT(calls[[#This Row],[Date of Call]],"DDDD")</f>
        <v>الإثنين</v>
      </c>
      <c r="N40" t="str" cm="1">
        <f t="array" ref="N40">_xlfn.IFS(calls[[#This Row],[Duration]]&lt;=10,"Under 10 mins", calls[[#This Row],[Duration]]&lt;=30, "10 to 30 mins", calls[[#This Row],[Duration]]&lt;=60, "30 to 60 mins", calls[[#This Row],[Duration]]&lt;=120, "1 to 2 hours", TRUE, "More than 2 hours")</f>
        <v>1 to 2 hours</v>
      </c>
      <c r="O40">
        <f>ROUND(calls[[#This Row],[Satisfaction Rating]],0)</f>
        <v>3</v>
      </c>
    </row>
    <row r="41" spans="2:15" x14ac:dyDescent="0.25">
      <c r="B41" t="s">
        <v>62</v>
      </c>
      <c r="C41" t="s">
        <v>11</v>
      </c>
      <c r="D41">
        <f>VLOOKUP(C41,customers[],3,0)</f>
        <v>36</v>
      </c>
      <c r="E41" t="str">
        <f>VLOOKUP(C41,customers[],2,0)</f>
        <v>Male</v>
      </c>
      <c r="F41" t="str">
        <f>VLOOKUP(C41,customers[],4,0)</f>
        <v>Cincinnati</v>
      </c>
      <c r="G41">
        <v>90</v>
      </c>
      <c r="H41" s="17" t="s">
        <v>8</v>
      </c>
      <c r="I41" s="18">
        <v>44942</v>
      </c>
      <c r="J41">
        <v>132</v>
      </c>
      <c r="K41">
        <v>3.2</v>
      </c>
      <c r="L41">
        <f>IF(MONTH(calls[[#This Row],[Date of Call]])&lt;=6, YEAR(calls[[#This Row],[Date of Call]]), YEAR(calls[[#This Row],[Date of Call]])+1)</f>
        <v>2023</v>
      </c>
      <c r="M41" t="str">
        <f>TEXT(calls[[#This Row],[Date of Call]],"DDDD")</f>
        <v>الإثنين</v>
      </c>
      <c r="N41" t="str" cm="1">
        <f t="array" ref="N41">_xlfn.IFS(calls[[#This Row],[Duration]]&lt;=10,"Under 10 mins", calls[[#This Row],[Duration]]&lt;=30, "10 to 30 mins", calls[[#This Row],[Duration]]&lt;=60, "30 to 60 mins", calls[[#This Row],[Duration]]&lt;=120, "1 to 2 hours", TRUE, "More than 2 hours")</f>
        <v>1 to 2 hours</v>
      </c>
      <c r="O41">
        <f>ROUND(calls[[#This Row],[Satisfaction Rating]],0)</f>
        <v>3</v>
      </c>
    </row>
    <row r="42" spans="2:15" x14ac:dyDescent="0.25">
      <c r="B42" t="s">
        <v>63</v>
      </c>
      <c r="C42" t="s">
        <v>18</v>
      </c>
      <c r="D42">
        <f>VLOOKUP(C42,customers[],3,0)</f>
        <v>43</v>
      </c>
      <c r="E42" t="str">
        <f>VLOOKUP(C42,customers[],2,0)</f>
        <v>Female</v>
      </c>
      <c r="F42" t="str">
        <f>VLOOKUP(C42,customers[],4,0)</f>
        <v>Cleveland</v>
      </c>
      <c r="G42">
        <v>81</v>
      </c>
      <c r="H42" s="17" t="s">
        <v>12</v>
      </c>
      <c r="I42" s="18">
        <v>44943</v>
      </c>
      <c r="J42">
        <v>86</v>
      </c>
      <c r="K42">
        <v>2.4</v>
      </c>
      <c r="L42">
        <f>IF(MONTH(calls[[#This Row],[Date of Call]])&lt;=6, YEAR(calls[[#This Row],[Date of Call]]), YEAR(calls[[#This Row],[Date of Call]])+1)</f>
        <v>2023</v>
      </c>
      <c r="M42" t="str">
        <f>TEXT(calls[[#This Row],[Date of Call]],"DDDD")</f>
        <v>الثلاثاء</v>
      </c>
      <c r="N42" t="str" cm="1">
        <f t="array" ref="N42">_xlfn.IFS(calls[[#This Row],[Duration]]&lt;=10,"Under 10 mins", calls[[#This Row],[Duration]]&lt;=30, "10 to 30 mins", calls[[#This Row],[Duration]]&lt;=60, "30 to 60 mins", calls[[#This Row],[Duration]]&lt;=120, "1 to 2 hours", TRUE, "More than 2 hours")</f>
        <v>1 to 2 hours</v>
      </c>
      <c r="O42">
        <f>ROUND(calls[[#This Row],[Satisfaction Rating]],0)</f>
        <v>2</v>
      </c>
    </row>
    <row r="43" spans="2:15" x14ac:dyDescent="0.25">
      <c r="B43" t="s">
        <v>64</v>
      </c>
      <c r="C43" t="s">
        <v>21</v>
      </c>
      <c r="D43">
        <f>VLOOKUP(C43,customers[],3,0)</f>
        <v>25</v>
      </c>
      <c r="E43" t="str">
        <f>VLOOKUP(C43,customers[],2,0)</f>
        <v>Female</v>
      </c>
      <c r="F43" t="str">
        <f>VLOOKUP(C43,customers[],4,0)</f>
        <v>Columbus</v>
      </c>
      <c r="G43">
        <v>106</v>
      </c>
      <c r="H43" s="17" t="s">
        <v>9</v>
      </c>
      <c r="I43" s="18">
        <v>44943</v>
      </c>
      <c r="J43">
        <v>108</v>
      </c>
      <c r="K43">
        <v>5</v>
      </c>
      <c r="L43">
        <f>IF(MONTH(calls[[#This Row],[Date of Call]])&lt;=6, YEAR(calls[[#This Row],[Date of Call]]), YEAR(calls[[#This Row],[Date of Call]])+1)</f>
        <v>2023</v>
      </c>
      <c r="M43" t="str">
        <f>TEXT(calls[[#This Row],[Date of Call]],"DDDD")</f>
        <v>الثلاثاء</v>
      </c>
      <c r="N43" t="str" cm="1">
        <f t="array" ref="N43">_xlfn.IFS(calls[[#This Row],[Duration]]&lt;=10,"Under 10 mins", calls[[#This Row],[Duration]]&lt;=30, "10 to 30 mins", calls[[#This Row],[Duration]]&lt;=60, "30 to 60 mins", calls[[#This Row],[Duration]]&lt;=120, "1 to 2 hours", TRUE, "More than 2 hours")</f>
        <v>1 to 2 hours</v>
      </c>
      <c r="O43">
        <f>ROUND(calls[[#This Row],[Satisfaction Rating]],0)</f>
        <v>5</v>
      </c>
    </row>
    <row r="44" spans="2:15" x14ac:dyDescent="0.25">
      <c r="B44" t="s">
        <v>65</v>
      </c>
      <c r="C44" t="s">
        <v>11</v>
      </c>
      <c r="D44">
        <f>VLOOKUP(C44,customers[],3,0)</f>
        <v>36</v>
      </c>
      <c r="E44" t="str">
        <f>VLOOKUP(C44,customers[],2,0)</f>
        <v>Male</v>
      </c>
      <c r="F44" t="str">
        <f>VLOOKUP(C44,customers[],4,0)</f>
        <v>Cincinnati</v>
      </c>
      <c r="G44">
        <v>74</v>
      </c>
      <c r="H44" s="17" t="s">
        <v>12</v>
      </c>
      <c r="I44" s="18">
        <v>44943</v>
      </c>
      <c r="J44">
        <v>96</v>
      </c>
      <c r="K44">
        <v>4.7</v>
      </c>
      <c r="L44">
        <f>IF(MONTH(calls[[#This Row],[Date of Call]])&lt;=6, YEAR(calls[[#This Row],[Date of Call]]), YEAR(calls[[#This Row],[Date of Call]])+1)</f>
        <v>2023</v>
      </c>
      <c r="M44" t="str">
        <f>TEXT(calls[[#This Row],[Date of Call]],"DDDD")</f>
        <v>الثلاثاء</v>
      </c>
      <c r="N44" t="str" cm="1">
        <f t="array" ref="N44">_xlfn.IFS(calls[[#This Row],[Duration]]&lt;=10,"Under 10 mins", calls[[#This Row],[Duration]]&lt;=30, "10 to 30 mins", calls[[#This Row],[Duration]]&lt;=60, "30 to 60 mins", calls[[#This Row],[Duration]]&lt;=120, "1 to 2 hours", TRUE, "More than 2 hours")</f>
        <v>1 to 2 hours</v>
      </c>
      <c r="O44">
        <f>ROUND(calls[[#This Row],[Satisfaction Rating]],0)</f>
        <v>5</v>
      </c>
    </row>
    <row r="45" spans="2:15" x14ac:dyDescent="0.25">
      <c r="B45" t="s">
        <v>66</v>
      </c>
      <c r="C45" t="s">
        <v>17</v>
      </c>
      <c r="D45">
        <f>VLOOKUP(C45,customers[],3,0)</f>
        <v>30</v>
      </c>
      <c r="E45" t="str">
        <f>VLOOKUP(C45,customers[],2,0)</f>
        <v>Female</v>
      </c>
      <c r="F45" t="str">
        <f>VLOOKUP(C45,customers[],4,0)</f>
        <v>Cleveland</v>
      </c>
      <c r="G45">
        <v>105</v>
      </c>
      <c r="H45" s="17" t="s">
        <v>8</v>
      </c>
      <c r="I45" s="18">
        <v>44944</v>
      </c>
      <c r="J45">
        <v>80</v>
      </c>
      <c r="K45">
        <v>4.7</v>
      </c>
      <c r="L45">
        <f>IF(MONTH(calls[[#This Row],[Date of Call]])&lt;=6, YEAR(calls[[#This Row],[Date of Call]]), YEAR(calls[[#This Row],[Date of Call]])+1)</f>
        <v>2023</v>
      </c>
      <c r="M45" t="str">
        <f>TEXT(calls[[#This Row],[Date of Call]],"DDDD")</f>
        <v>الأربعاء</v>
      </c>
      <c r="N45" t="str" cm="1">
        <f t="array" ref="N45">_xlfn.IFS(calls[[#This Row],[Duration]]&lt;=10,"Under 10 mins", calls[[#This Row],[Duration]]&lt;=30, "10 to 30 mins", calls[[#This Row],[Duration]]&lt;=60, "30 to 60 mins", calls[[#This Row],[Duration]]&lt;=120, "1 to 2 hours", TRUE, "More than 2 hours")</f>
        <v>1 to 2 hours</v>
      </c>
      <c r="O45">
        <f>ROUND(calls[[#This Row],[Satisfaction Rating]],0)</f>
        <v>5</v>
      </c>
    </row>
    <row r="46" spans="2:15" x14ac:dyDescent="0.25">
      <c r="B46" t="s">
        <v>67</v>
      </c>
      <c r="C46" t="s">
        <v>21</v>
      </c>
      <c r="D46">
        <f>VLOOKUP(C46,customers[],3,0)</f>
        <v>25</v>
      </c>
      <c r="E46" t="str">
        <f>VLOOKUP(C46,customers[],2,0)</f>
        <v>Female</v>
      </c>
      <c r="F46" t="str">
        <f>VLOOKUP(C46,customers[],4,0)</f>
        <v>Columbus</v>
      </c>
      <c r="G46">
        <v>89</v>
      </c>
      <c r="H46" s="17" t="s">
        <v>9</v>
      </c>
      <c r="I46" s="18">
        <v>44944</v>
      </c>
      <c r="J46">
        <v>155</v>
      </c>
      <c r="K46">
        <v>4.0999999999999996</v>
      </c>
      <c r="L46">
        <f>IF(MONTH(calls[[#This Row],[Date of Call]])&lt;=6, YEAR(calls[[#This Row],[Date of Call]]), YEAR(calls[[#This Row],[Date of Call]])+1)</f>
        <v>2023</v>
      </c>
      <c r="M46" t="str">
        <f>TEXT(calls[[#This Row],[Date of Call]],"DDDD")</f>
        <v>الأربعاء</v>
      </c>
      <c r="N46" t="str" cm="1">
        <f t="array" ref="N46">_xlfn.IFS(calls[[#This Row],[Duration]]&lt;=10,"Under 10 mins", calls[[#This Row],[Duration]]&lt;=30, "10 to 30 mins", calls[[#This Row],[Duration]]&lt;=60, "30 to 60 mins", calls[[#This Row],[Duration]]&lt;=120, "1 to 2 hours", TRUE, "More than 2 hours")</f>
        <v>1 to 2 hours</v>
      </c>
      <c r="O46">
        <f>ROUND(calls[[#This Row],[Satisfaction Rating]],0)</f>
        <v>4</v>
      </c>
    </row>
    <row r="47" spans="2:15" x14ac:dyDescent="0.25">
      <c r="B47" t="s">
        <v>68</v>
      </c>
      <c r="C47" t="s">
        <v>13</v>
      </c>
      <c r="D47">
        <f>VLOOKUP(C47,customers[],3,0)</f>
        <v>37</v>
      </c>
      <c r="E47" t="str">
        <f>VLOOKUP(C47,customers[],2,0)</f>
        <v>Female</v>
      </c>
      <c r="F47" t="str">
        <f>VLOOKUP(C47,customers[],4,0)</f>
        <v>Cleveland</v>
      </c>
      <c r="G47">
        <v>132</v>
      </c>
      <c r="H47" s="17" t="s">
        <v>5</v>
      </c>
      <c r="I47" s="18">
        <v>44944</v>
      </c>
      <c r="J47">
        <v>168</v>
      </c>
      <c r="K47">
        <v>4.0999999999999996</v>
      </c>
      <c r="L47">
        <f>IF(MONTH(calls[[#This Row],[Date of Call]])&lt;=6, YEAR(calls[[#This Row],[Date of Call]]), YEAR(calls[[#This Row],[Date of Call]])+1)</f>
        <v>2023</v>
      </c>
      <c r="M47" t="str">
        <f>TEXT(calls[[#This Row],[Date of Call]],"DDDD")</f>
        <v>الأربعاء</v>
      </c>
      <c r="N47" t="str" cm="1">
        <f t="array" ref="N47">_xlfn.IFS(calls[[#This Row],[Duration]]&lt;=10,"Under 10 mins", calls[[#This Row],[Duration]]&lt;=30, "10 to 30 mins", calls[[#This Row],[Duration]]&lt;=60, "30 to 60 mins", calls[[#This Row],[Duration]]&lt;=120, "1 to 2 hours", TRUE, "More than 2 hours")</f>
        <v>More than 2 hours</v>
      </c>
      <c r="O47">
        <f>ROUND(calls[[#This Row],[Satisfaction Rating]],0)</f>
        <v>4</v>
      </c>
    </row>
    <row r="48" spans="2:15" x14ac:dyDescent="0.25">
      <c r="B48" t="s">
        <v>69</v>
      </c>
      <c r="C48" t="s">
        <v>16</v>
      </c>
      <c r="D48">
        <f>VLOOKUP(C48,customers[],3,0)</f>
        <v>41</v>
      </c>
      <c r="E48" t="str">
        <f>VLOOKUP(C48,customers[],2,0)</f>
        <v>Male</v>
      </c>
      <c r="F48" t="str">
        <f>VLOOKUP(C48,customers[],4,0)</f>
        <v>Columbus</v>
      </c>
      <c r="G48">
        <v>105</v>
      </c>
      <c r="H48" s="17" t="s">
        <v>10</v>
      </c>
      <c r="I48" s="18">
        <v>44944</v>
      </c>
      <c r="J48">
        <v>56</v>
      </c>
      <c r="K48">
        <v>3.6</v>
      </c>
      <c r="L48">
        <f>IF(MONTH(calls[[#This Row],[Date of Call]])&lt;=6, YEAR(calls[[#This Row],[Date of Call]]), YEAR(calls[[#This Row],[Date of Call]])+1)</f>
        <v>2023</v>
      </c>
      <c r="M48" t="str">
        <f>TEXT(calls[[#This Row],[Date of Call]],"DDDD")</f>
        <v>الأربعاء</v>
      </c>
      <c r="N48" t="str" cm="1">
        <f t="array" ref="N48">_xlfn.IFS(calls[[#This Row],[Duration]]&lt;=10,"Under 10 mins", calls[[#This Row],[Duration]]&lt;=30, "10 to 30 mins", calls[[#This Row],[Duration]]&lt;=60, "30 to 60 mins", calls[[#This Row],[Duration]]&lt;=120, "1 to 2 hours", TRUE, "More than 2 hours")</f>
        <v>1 to 2 hours</v>
      </c>
      <c r="O48">
        <f>ROUND(calls[[#This Row],[Satisfaction Rating]],0)</f>
        <v>4</v>
      </c>
    </row>
    <row r="49" spans="2:15" x14ac:dyDescent="0.25">
      <c r="B49" t="s">
        <v>70</v>
      </c>
      <c r="C49" t="s">
        <v>7</v>
      </c>
      <c r="D49">
        <f>VLOOKUP(C49,customers[],3,0)</f>
        <v>30</v>
      </c>
      <c r="E49" t="str">
        <f>VLOOKUP(C49,customers[],2,0)</f>
        <v>Female</v>
      </c>
      <c r="F49" t="str">
        <f>VLOOKUP(C49,customers[],4,0)</f>
        <v>Cincinnati</v>
      </c>
      <c r="G49">
        <v>13</v>
      </c>
      <c r="H49" s="17" t="s">
        <v>5</v>
      </c>
      <c r="I49" s="18">
        <v>44945</v>
      </c>
      <c r="J49">
        <v>32</v>
      </c>
      <c r="K49">
        <v>4.4000000000000004</v>
      </c>
      <c r="L49">
        <f>IF(MONTH(calls[[#This Row],[Date of Call]])&lt;=6, YEAR(calls[[#This Row],[Date of Call]]), YEAR(calls[[#This Row],[Date of Call]])+1)</f>
        <v>2023</v>
      </c>
      <c r="M49" t="str">
        <f>TEXT(calls[[#This Row],[Date of Call]],"DDDD")</f>
        <v>الخميس</v>
      </c>
      <c r="N49" t="str" cm="1">
        <f t="array" ref="N49">_xlfn.IFS(calls[[#This Row],[Duration]]&lt;=10,"Under 10 mins", calls[[#This Row],[Duration]]&lt;=30, "10 to 30 mins", calls[[#This Row],[Duration]]&lt;=60, "30 to 60 mins", calls[[#This Row],[Duration]]&lt;=120, "1 to 2 hours", TRUE, "More than 2 hours")</f>
        <v>10 to 30 mins</v>
      </c>
      <c r="O49">
        <f>ROUND(calls[[#This Row],[Satisfaction Rating]],0)</f>
        <v>4</v>
      </c>
    </row>
    <row r="50" spans="2:15" x14ac:dyDescent="0.25">
      <c r="B50" t="s">
        <v>71</v>
      </c>
      <c r="C50" t="s">
        <v>20</v>
      </c>
      <c r="D50">
        <f>VLOOKUP(C50,customers[],3,0)</f>
        <v>38</v>
      </c>
      <c r="E50" t="str">
        <f>VLOOKUP(C50,customers[],2,0)</f>
        <v>Female</v>
      </c>
      <c r="F50" t="str">
        <f>VLOOKUP(C50,customers[],4,0)</f>
        <v>Columbus</v>
      </c>
      <c r="G50">
        <v>131</v>
      </c>
      <c r="H50" s="17" t="s">
        <v>10</v>
      </c>
      <c r="I50" s="18">
        <v>44945</v>
      </c>
      <c r="J50">
        <v>78</v>
      </c>
      <c r="K50">
        <v>4.4000000000000004</v>
      </c>
      <c r="L50">
        <f>IF(MONTH(calls[[#This Row],[Date of Call]])&lt;=6, YEAR(calls[[#This Row],[Date of Call]]), YEAR(calls[[#This Row],[Date of Call]])+1)</f>
        <v>2023</v>
      </c>
      <c r="M50" t="str">
        <f>TEXT(calls[[#This Row],[Date of Call]],"DDDD")</f>
        <v>الخميس</v>
      </c>
      <c r="N50" t="str" cm="1">
        <f t="array" ref="N50">_xlfn.IFS(calls[[#This Row],[Duration]]&lt;=10,"Under 10 mins", calls[[#This Row],[Duration]]&lt;=30, "10 to 30 mins", calls[[#This Row],[Duration]]&lt;=60, "30 to 60 mins", calls[[#This Row],[Duration]]&lt;=120, "1 to 2 hours", TRUE, "More than 2 hours")</f>
        <v>More than 2 hours</v>
      </c>
      <c r="O50">
        <f>ROUND(calls[[#This Row],[Satisfaction Rating]],0)</f>
        <v>4</v>
      </c>
    </row>
    <row r="51" spans="2:15" x14ac:dyDescent="0.25">
      <c r="B51" t="s">
        <v>72</v>
      </c>
      <c r="C51" t="s">
        <v>11</v>
      </c>
      <c r="D51">
        <f>VLOOKUP(C51,customers[],3,0)</f>
        <v>36</v>
      </c>
      <c r="E51" t="str">
        <f>VLOOKUP(C51,customers[],2,0)</f>
        <v>Male</v>
      </c>
      <c r="F51" t="str">
        <f>VLOOKUP(C51,customers[],4,0)</f>
        <v>Cincinnati</v>
      </c>
      <c r="G51">
        <v>104</v>
      </c>
      <c r="H51" s="17" t="s">
        <v>9</v>
      </c>
      <c r="I51" s="18">
        <v>44945</v>
      </c>
      <c r="J51">
        <v>86</v>
      </c>
      <c r="K51">
        <v>4</v>
      </c>
      <c r="L51">
        <f>IF(MONTH(calls[[#This Row],[Date of Call]])&lt;=6, YEAR(calls[[#This Row],[Date of Call]]), YEAR(calls[[#This Row],[Date of Call]])+1)</f>
        <v>2023</v>
      </c>
      <c r="M51" t="str">
        <f>TEXT(calls[[#This Row],[Date of Call]],"DDDD")</f>
        <v>الخميس</v>
      </c>
      <c r="N51" t="str" cm="1">
        <f t="array" ref="N51">_xlfn.IFS(calls[[#This Row],[Duration]]&lt;=10,"Under 10 mins", calls[[#This Row],[Duration]]&lt;=30, "10 to 30 mins", calls[[#This Row],[Duration]]&lt;=60, "30 to 60 mins", calls[[#This Row],[Duration]]&lt;=120, "1 to 2 hours", TRUE, "More than 2 hours")</f>
        <v>1 to 2 hours</v>
      </c>
      <c r="O51">
        <f>ROUND(calls[[#This Row],[Satisfaction Rating]],0)</f>
        <v>4</v>
      </c>
    </row>
    <row r="52" spans="2:15" x14ac:dyDescent="0.25">
      <c r="B52" t="s">
        <v>73</v>
      </c>
      <c r="C52" t="s">
        <v>19</v>
      </c>
      <c r="D52">
        <f>VLOOKUP(C52,customers[],3,0)</f>
        <v>26</v>
      </c>
      <c r="E52" t="str">
        <f>VLOOKUP(C52,customers[],2,0)</f>
        <v>Male</v>
      </c>
      <c r="F52" t="str">
        <f>VLOOKUP(C52,customers[],4,0)</f>
        <v>Cincinnati</v>
      </c>
      <c r="G52">
        <v>90</v>
      </c>
      <c r="H52" s="17" t="s">
        <v>8</v>
      </c>
      <c r="I52" s="18">
        <v>44946</v>
      </c>
      <c r="J52">
        <v>64</v>
      </c>
      <c r="K52">
        <v>3.8</v>
      </c>
      <c r="L52">
        <f>IF(MONTH(calls[[#This Row],[Date of Call]])&lt;=6, YEAR(calls[[#This Row],[Date of Call]]), YEAR(calls[[#This Row],[Date of Call]])+1)</f>
        <v>2023</v>
      </c>
      <c r="M52" t="str">
        <f>TEXT(calls[[#This Row],[Date of Call]],"DDDD")</f>
        <v>الجمعة</v>
      </c>
      <c r="N52" t="str" cm="1">
        <f t="array" ref="N52">_xlfn.IFS(calls[[#This Row],[Duration]]&lt;=10,"Under 10 mins", calls[[#This Row],[Duration]]&lt;=30, "10 to 30 mins", calls[[#This Row],[Duration]]&lt;=60, "30 to 60 mins", calls[[#This Row],[Duration]]&lt;=120, "1 to 2 hours", TRUE, "More than 2 hours")</f>
        <v>1 to 2 hours</v>
      </c>
      <c r="O52">
        <f>ROUND(calls[[#This Row],[Satisfaction Rating]],0)</f>
        <v>4</v>
      </c>
    </row>
    <row r="53" spans="2:15" x14ac:dyDescent="0.25">
      <c r="B53" t="s">
        <v>74</v>
      </c>
      <c r="C53" t="s">
        <v>15</v>
      </c>
      <c r="D53">
        <f>VLOOKUP(C53,customers[],3,0)</f>
        <v>28</v>
      </c>
      <c r="E53" t="str">
        <f>VLOOKUP(C53,customers[],2,0)</f>
        <v>Female</v>
      </c>
      <c r="F53" t="str">
        <f>VLOOKUP(C53,customers[],4,0)</f>
        <v>Cincinnati</v>
      </c>
      <c r="G53">
        <v>37</v>
      </c>
      <c r="H53" s="17" t="s">
        <v>8</v>
      </c>
      <c r="I53" s="18">
        <v>44946</v>
      </c>
      <c r="J53">
        <v>96</v>
      </c>
      <c r="K53">
        <v>3.6</v>
      </c>
      <c r="L53">
        <f>IF(MONTH(calls[[#This Row],[Date of Call]])&lt;=6, YEAR(calls[[#This Row],[Date of Call]]), YEAR(calls[[#This Row],[Date of Call]])+1)</f>
        <v>2023</v>
      </c>
      <c r="M53" t="str">
        <f>TEXT(calls[[#This Row],[Date of Call]],"DDDD")</f>
        <v>الجمعة</v>
      </c>
      <c r="N53" t="str" cm="1">
        <f t="array" ref="N53">_xlfn.IFS(calls[[#This Row],[Duration]]&lt;=10,"Under 10 mins", calls[[#This Row],[Duration]]&lt;=30, "10 to 30 mins", calls[[#This Row],[Duration]]&lt;=60, "30 to 60 mins", calls[[#This Row],[Duration]]&lt;=120, "1 to 2 hours", TRUE, "More than 2 hours")</f>
        <v>30 to 60 mins</v>
      </c>
      <c r="O53">
        <f>ROUND(calls[[#This Row],[Satisfaction Rating]],0)</f>
        <v>4</v>
      </c>
    </row>
    <row r="54" spans="2:15" x14ac:dyDescent="0.25">
      <c r="B54" t="s">
        <v>75</v>
      </c>
      <c r="C54" t="s">
        <v>23</v>
      </c>
      <c r="D54">
        <f>VLOOKUP(C54,customers[],3,0)</f>
        <v>31</v>
      </c>
      <c r="E54" t="str">
        <f>VLOOKUP(C54,customers[],2,0)</f>
        <v>Male</v>
      </c>
      <c r="F54" t="str">
        <f>VLOOKUP(C54,customers[],4,0)</f>
        <v>Cleveland</v>
      </c>
      <c r="G54">
        <v>149</v>
      </c>
      <c r="H54" s="17" t="s">
        <v>10</v>
      </c>
      <c r="I54" s="18">
        <v>44946</v>
      </c>
      <c r="J54">
        <v>72</v>
      </c>
      <c r="K54">
        <v>4.3</v>
      </c>
      <c r="L54">
        <f>IF(MONTH(calls[[#This Row],[Date of Call]])&lt;=6, YEAR(calls[[#This Row],[Date of Call]]), YEAR(calls[[#This Row],[Date of Call]])+1)</f>
        <v>2023</v>
      </c>
      <c r="M54" t="str">
        <f>TEXT(calls[[#This Row],[Date of Call]],"DDDD")</f>
        <v>الجمعة</v>
      </c>
      <c r="N54" t="str" cm="1">
        <f t="array" ref="N54">_xlfn.IFS(calls[[#This Row],[Duration]]&lt;=10,"Under 10 mins", calls[[#This Row],[Duration]]&lt;=30, "10 to 30 mins", calls[[#This Row],[Duration]]&lt;=60, "30 to 60 mins", calls[[#This Row],[Duration]]&lt;=120, "1 to 2 hours", TRUE, "More than 2 hours")</f>
        <v>More than 2 hours</v>
      </c>
      <c r="O54">
        <f>ROUND(calls[[#This Row],[Satisfaction Rating]],0)</f>
        <v>4</v>
      </c>
    </row>
    <row r="55" spans="2:15" x14ac:dyDescent="0.25">
      <c r="B55" t="s">
        <v>76</v>
      </c>
      <c r="C55" t="s">
        <v>13</v>
      </c>
      <c r="D55">
        <f>VLOOKUP(C55,customers[],3,0)</f>
        <v>37</v>
      </c>
      <c r="E55" t="str">
        <f>VLOOKUP(C55,customers[],2,0)</f>
        <v>Female</v>
      </c>
      <c r="F55" t="str">
        <f>VLOOKUP(C55,customers[],4,0)</f>
        <v>Cleveland</v>
      </c>
      <c r="G55">
        <v>100</v>
      </c>
      <c r="H55" s="17" t="s">
        <v>12</v>
      </c>
      <c r="I55" s="18">
        <v>44947</v>
      </c>
      <c r="J55">
        <v>135</v>
      </c>
      <c r="K55">
        <v>3.8</v>
      </c>
      <c r="L55">
        <f>IF(MONTH(calls[[#This Row],[Date of Call]])&lt;=6, YEAR(calls[[#This Row],[Date of Call]]), YEAR(calls[[#This Row],[Date of Call]])+1)</f>
        <v>2023</v>
      </c>
      <c r="M55" t="str">
        <f>TEXT(calls[[#This Row],[Date of Call]],"DDDD")</f>
        <v>السبت</v>
      </c>
      <c r="N55" t="str" cm="1">
        <f t="array" ref="N55">_xlfn.IFS(calls[[#This Row],[Duration]]&lt;=10,"Under 10 mins", calls[[#This Row],[Duration]]&lt;=30, "10 to 30 mins", calls[[#This Row],[Duration]]&lt;=60, "30 to 60 mins", calls[[#This Row],[Duration]]&lt;=120, "1 to 2 hours", TRUE, "More than 2 hours")</f>
        <v>1 to 2 hours</v>
      </c>
      <c r="O55">
        <f>ROUND(calls[[#This Row],[Satisfaction Rating]],0)</f>
        <v>4</v>
      </c>
    </row>
    <row r="56" spans="2:15" x14ac:dyDescent="0.25">
      <c r="B56" t="s">
        <v>77</v>
      </c>
      <c r="C56" t="s">
        <v>13</v>
      </c>
      <c r="D56">
        <f>VLOOKUP(C56,customers[],3,0)</f>
        <v>37</v>
      </c>
      <c r="E56" t="str">
        <f>VLOOKUP(C56,customers[],2,0)</f>
        <v>Female</v>
      </c>
      <c r="F56" t="str">
        <f>VLOOKUP(C56,customers[],4,0)</f>
        <v>Cleveland</v>
      </c>
      <c r="G56">
        <v>79</v>
      </c>
      <c r="H56" s="17" t="s">
        <v>5</v>
      </c>
      <c r="I56" s="18">
        <v>44947</v>
      </c>
      <c r="J56">
        <v>140</v>
      </c>
      <c r="K56">
        <v>4.5</v>
      </c>
      <c r="L56">
        <f>IF(MONTH(calls[[#This Row],[Date of Call]])&lt;=6, YEAR(calls[[#This Row],[Date of Call]]), YEAR(calls[[#This Row],[Date of Call]])+1)</f>
        <v>2023</v>
      </c>
      <c r="M56" t="str">
        <f>TEXT(calls[[#This Row],[Date of Call]],"DDDD")</f>
        <v>السبت</v>
      </c>
      <c r="N56" t="str" cm="1">
        <f t="array" ref="N56">_xlfn.IFS(calls[[#This Row],[Duration]]&lt;=10,"Under 10 mins", calls[[#This Row],[Duration]]&lt;=30, "10 to 30 mins", calls[[#This Row],[Duration]]&lt;=60, "30 to 60 mins", calls[[#This Row],[Duration]]&lt;=120, "1 to 2 hours", TRUE, "More than 2 hours")</f>
        <v>1 to 2 hours</v>
      </c>
      <c r="O56">
        <f>ROUND(calls[[#This Row],[Satisfaction Rating]],0)</f>
        <v>5</v>
      </c>
    </row>
    <row r="57" spans="2:15" x14ac:dyDescent="0.25">
      <c r="B57" t="s">
        <v>78</v>
      </c>
      <c r="C57" t="s">
        <v>4</v>
      </c>
      <c r="D57">
        <f>VLOOKUP(C57,customers[],3,0)</f>
        <v>42</v>
      </c>
      <c r="E57" t="str">
        <f>VLOOKUP(C57,customers[],2,0)</f>
        <v>Female</v>
      </c>
      <c r="F57" t="str">
        <f>VLOOKUP(C57,customers[],4,0)</f>
        <v>Cleveland</v>
      </c>
      <c r="G57">
        <v>157</v>
      </c>
      <c r="H57" s="17" t="s">
        <v>10</v>
      </c>
      <c r="I57" s="18">
        <v>44947</v>
      </c>
      <c r="J57">
        <v>69</v>
      </c>
      <c r="K57">
        <v>4.5</v>
      </c>
      <c r="L57">
        <f>IF(MONTH(calls[[#This Row],[Date of Call]])&lt;=6, YEAR(calls[[#This Row],[Date of Call]]), YEAR(calls[[#This Row],[Date of Call]])+1)</f>
        <v>2023</v>
      </c>
      <c r="M57" t="str">
        <f>TEXT(calls[[#This Row],[Date of Call]],"DDDD")</f>
        <v>السبت</v>
      </c>
      <c r="N57" t="str" cm="1">
        <f t="array" ref="N57">_xlfn.IFS(calls[[#This Row],[Duration]]&lt;=10,"Under 10 mins", calls[[#This Row],[Duration]]&lt;=30, "10 to 30 mins", calls[[#This Row],[Duration]]&lt;=60, "30 to 60 mins", calls[[#This Row],[Duration]]&lt;=120, "1 to 2 hours", TRUE, "More than 2 hours")</f>
        <v>More than 2 hours</v>
      </c>
      <c r="O57">
        <f>ROUND(calls[[#This Row],[Satisfaction Rating]],0)</f>
        <v>5</v>
      </c>
    </row>
    <row r="58" spans="2:15" x14ac:dyDescent="0.25">
      <c r="B58" t="s">
        <v>79</v>
      </c>
      <c r="C58" t="s">
        <v>13</v>
      </c>
      <c r="D58">
        <f>VLOOKUP(C58,customers[],3,0)</f>
        <v>37</v>
      </c>
      <c r="E58" t="str">
        <f>VLOOKUP(C58,customers[],2,0)</f>
        <v>Female</v>
      </c>
      <c r="F58" t="str">
        <f>VLOOKUP(C58,customers[],4,0)</f>
        <v>Cleveland</v>
      </c>
      <c r="G58">
        <v>59</v>
      </c>
      <c r="H58" s="17" t="s">
        <v>9</v>
      </c>
      <c r="I58" s="18">
        <v>44948</v>
      </c>
      <c r="J58">
        <v>136</v>
      </c>
      <c r="K58">
        <v>4.5999999999999996</v>
      </c>
      <c r="L58">
        <f>IF(MONTH(calls[[#This Row],[Date of Call]])&lt;=6, YEAR(calls[[#This Row],[Date of Call]]), YEAR(calls[[#This Row],[Date of Call]])+1)</f>
        <v>2023</v>
      </c>
      <c r="M58" t="str">
        <f>TEXT(calls[[#This Row],[Date of Call]],"DDDD")</f>
        <v>الأحد</v>
      </c>
      <c r="N58" t="str" cm="1">
        <f t="array" ref="N58">_xlfn.IFS(calls[[#This Row],[Duration]]&lt;=10,"Under 10 mins", calls[[#This Row],[Duration]]&lt;=30, "10 to 30 mins", calls[[#This Row],[Duration]]&lt;=60, "30 to 60 mins", calls[[#This Row],[Duration]]&lt;=120, "1 to 2 hours", TRUE, "More than 2 hours")</f>
        <v>30 to 60 mins</v>
      </c>
      <c r="O58">
        <f>ROUND(calls[[#This Row],[Satisfaction Rating]],0)</f>
        <v>5</v>
      </c>
    </row>
    <row r="59" spans="2:15" x14ac:dyDescent="0.25">
      <c r="B59" t="s">
        <v>80</v>
      </c>
      <c r="C59" t="s">
        <v>15</v>
      </c>
      <c r="D59">
        <f>VLOOKUP(C59,customers[],3,0)</f>
        <v>28</v>
      </c>
      <c r="E59" t="str">
        <f>VLOOKUP(C59,customers[],2,0)</f>
        <v>Female</v>
      </c>
      <c r="F59" t="str">
        <f>VLOOKUP(C59,customers[],4,0)</f>
        <v>Cincinnati</v>
      </c>
      <c r="G59">
        <v>83</v>
      </c>
      <c r="H59" s="17" t="s">
        <v>10</v>
      </c>
      <c r="I59" s="18">
        <v>44948</v>
      </c>
      <c r="J59">
        <v>28</v>
      </c>
      <c r="K59">
        <v>4.5</v>
      </c>
      <c r="L59">
        <f>IF(MONTH(calls[[#This Row],[Date of Call]])&lt;=6, YEAR(calls[[#This Row],[Date of Call]]), YEAR(calls[[#This Row],[Date of Call]])+1)</f>
        <v>2023</v>
      </c>
      <c r="M59" t="str">
        <f>TEXT(calls[[#This Row],[Date of Call]],"DDDD")</f>
        <v>الأحد</v>
      </c>
      <c r="N59" t="str" cm="1">
        <f t="array" ref="N59">_xlfn.IFS(calls[[#This Row],[Duration]]&lt;=10,"Under 10 mins", calls[[#This Row],[Duration]]&lt;=30, "10 to 30 mins", calls[[#This Row],[Duration]]&lt;=60, "30 to 60 mins", calls[[#This Row],[Duration]]&lt;=120, "1 to 2 hours", TRUE, "More than 2 hours")</f>
        <v>1 to 2 hours</v>
      </c>
      <c r="O59">
        <f>ROUND(calls[[#This Row],[Satisfaction Rating]],0)</f>
        <v>5</v>
      </c>
    </row>
    <row r="60" spans="2:15" x14ac:dyDescent="0.25">
      <c r="B60" t="s">
        <v>81</v>
      </c>
      <c r="C60" t="s">
        <v>4</v>
      </c>
      <c r="D60">
        <f>VLOOKUP(C60,customers[],3,0)</f>
        <v>42</v>
      </c>
      <c r="E60" t="str">
        <f>VLOOKUP(C60,customers[],2,0)</f>
        <v>Female</v>
      </c>
      <c r="F60" t="str">
        <f>VLOOKUP(C60,customers[],4,0)</f>
        <v>Cleveland</v>
      </c>
      <c r="G60">
        <v>58</v>
      </c>
      <c r="H60" s="17" t="s">
        <v>8</v>
      </c>
      <c r="I60" s="18">
        <v>44949</v>
      </c>
      <c r="J60">
        <v>135</v>
      </c>
      <c r="K60">
        <v>3.3</v>
      </c>
      <c r="L60">
        <f>IF(MONTH(calls[[#This Row],[Date of Call]])&lt;=6, YEAR(calls[[#This Row],[Date of Call]]), YEAR(calls[[#This Row],[Date of Call]])+1)</f>
        <v>2023</v>
      </c>
      <c r="M60" t="str">
        <f>TEXT(calls[[#This Row],[Date of Call]],"DDDD")</f>
        <v>الإثنين</v>
      </c>
      <c r="N60" t="str" cm="1">
        <f t="array" ref="N60">_xlfn.IFS(calls[[#This Row],[Duration]]&lt;=10,"Under 10 mins", calls[[#This Row],[Duration]]&lt;=30, "10 to 30 mins", calls[[#This Row],[Duration]]&lt;=60, "30 to 60 mins", calls[[#This Row],[Duration]]&lt;=120, "1 to 2 hours", TRUE, "More than 2 hours")</f>
        <v>30 to 60 mins</v>
      </c>
      <c r="O60">
        <f>ROUND(calls[[#This Row],[Satisfaction Rating]],0)</f>
        <v>3</v>
      </c>
    </row>
    <row r="61" spans="2:15" x14ac:dyDescent="0.25">
      <c r="B61" t="s">
        <v>82</v>
      </c>
      <c r="C61" t="s">
        <v>18</v>
      </c>
      <c r="D61">
        <f>VLOOKUP(C61,customers[],3,0)</f>
        <v>43</v>
      </c>
      <c r="E61" t="str">
        <f>VLOOKUP(C61,customers[],2,0)</f>
        <v>Female</v>
      </c>
      <c r="F61" t="str">
        <f>VLOOKUP(C61,customers[],4,0)</f>
        <v>Cleveland</v>
      </c>
      <c r="G61">
        <v>118</v>
      </c>
      <c r="H61" s="17" t="s">
        <v>8</v>
      </c>
      <c r="I61" s="18">
        <v>44949</v>
      </c>
      <c r="J61">
        <v>126</v>
      </c>
      <c r="K61">
        <v>2.2999999999999998</v>
      </c>
      <c r="L61">
        <f>IF(MONTH(calls[[#This Row],[Date of Call]])&lt;=6, YEAR(calls[[#This Row],[Date of Call]]), YEAR(calls[[#This Row],[Date of Call]])+1)</f>
        <v>2023</v>
      </c>
      <c r="M61" t="str">
        <f>TEXT(calls[[#This Row],[Date of Call]],"DDDD")</f>
        <v>الإثنين</v>
      </c>
      <c r="N61" t="str" cm="1">
        <f t="array" ref="N61">_xlfn.IFS(calls[[#This Row],[Duration]]&lt;=10,"Under 10 mins", calls[[#This Row],[Duration]]&lt;=30, "10 to 30 mins", calls[[#This Row],[Duration]]&lt;=60, "30 to 60 mins", calls[[#This Row],[Duration]]&lt;=120, "1 to 2 hours", TRUE, "More than 2 hours")</f>
        <v>1 to 2 hours</v>
      </c>
      <c r="O61">
        <f>ROUND(calls[[#This Row],[Satisfaction Rating]],0)</f>
        <v>2</v>
      </c>
    </row>
    <row r="62" spans="2:15" x14ac:dyDescent="0.25">
      <c r="B62" t="s">
        <v>83</v>
      </c>
      <c r="C62" t="s">
        <v>7</v>
      </c>
      <c r="D62">
        <f>VLOOKUP(C62,customers[],3,0)</f>
        <v>30</v>
      </c>
      <c r="E62" t="str">
        <f>VLOOKUP(C62,customers[],2,0)</f>
        <v>Female</v>
      </c>
      <c r="F62" t="str">
        <f>VLOOKUP(C62,customers[],4,0)</f>
        <v>Cincinnati</v>
      </c>
      <c r="G62">
        <v>63</v>
      </c>
      <c r="H62" s="17" t="s">
        <v>9</v>
      </c>
      <c r="I62" s="18">
        <v>44949</v>
      </c>
      <c r="J62">
        <v>160</v>
      </c>
      <c r="K62">
        <v>4.3</v>
      </c>
      <c r="L62">
        <f>IF(MONTH(calls[[#This Row],[Date of Call]])&lt;=6, YEAR(calls[[#This Row],[Date of Call]]), YEAR(calls[[#This Row],[Date of Call]])+1)</f>
        <v>2023</v>
      </c>
      <c r="M62" t="str">
        <f>TEXT(calls[[#This Row],[Date of Call]],"DDDD")</f>
        <v>الإثنين</v>
      </c>
      <c r="N62" t="str" cm="1">
        <f t="array" ref="N62">_xlfn.IFS(calls[[#This Row],[Duration]]&lt;=10,"Under 10 mins", calls[[#This Row],[Duration]]&lt;=30, "10 to 30 mins", calls[[#This Row],[Duration]]&lt;=60, "30 to 60 mins", calls[[#This Row],[Duration]]&lt;=120, "1 to 2 hours", TRUE, "More than 2 hours")</f>
        <v>1 to 2 hours</v>
      </c>
      <c r="O62">
        <f>ROUND(calls[[#This Row],[Satisfaction Rating]],0)</f>
        <v>4</v>
      </c>
    </row>
    <row r="63" spans="2:15" x14ac:dyDescent="0.25">
      <c r="B63" t="s">
        <v>84</v>
      </c>
      <c r="C63" t="s">
        <v>4</v>
      </c>
      <c r="D63">
        <f>VLOOKUP(C63,customers[],3,0)</f>
        <v>42</v>
      </c>
      <c r="E63" t="str">
        <f>VLOOKUP(C63,customers[],2,0)</f>
        <v>Female</v>
      </c>
      <c r="F63" t="str">
        <f>VLOOKUP(C63,customers[],4,0)</f>
        <v>Cleveland</v>
      </c>
      <c r="G63">
        <v>95</v>
      </c>
      <c r="H63" s="17" t="s">
        <v>8</v>
      </c>
      <c r="I63" s="18">
        <v>44950</v>
      </c>
      <c r="J63">
        <v>48</v>
      </c>
      <c r="K63">
        <v>4.5999999999999996</v>
      </c>
      <c r="L63">
        <f>IF(MONTH(calls[[#This Row],[Date of Call]])&lt;=6, YEAR(calls[[#This Row],[Date of Call]]), YEAR(calls[[#This Row],[Date of Call]])+1)</f>
        <v>2023</v>
      </c>
      <c r="M63" t="str">
        <f>TEXT(calls[[#This Row],[Date of Call]],"DDDD")</f>
        <v>الثلاثاء</v>
      </c>
      <c r="N63" t="str" cm="1">
        <f t="array" ref="N63">_xlfn.IFS(calls[[#This Row],[Duration]]&lt;=10,"Under 10 mins", calls[[#This Row],[Duration]]&lt;=30, "10 to 30 mins", calls[[#This Row],[Duration]]&lt;=60, "30 to 60 mins", calls[[#This Row],[Duration]]&lt;=120, "1 to 2 hours", TRUE, "More than 2 hours")</f>
        <v>1 to 2 hours</v>
      </c>
      <c r="O63">
        <f>ROUND(calls[[#This Row],[Satisfaction Rating]],0)</f>
        <v>5</v>
      </c>
    </row>
    <row r="64" spans="2:15" x14ac:dyDescent="0.25">
      <c r="B64" t="s">
        <v>85</v>
      </c>
      <c r="C64" t="s">
        <v>13</v>
      </c>
      <c r="D64">
        <f>VLOOKUP(C64,customers[],3,0)</f>
        <v>37</v>
      </c>
      <c r="E64" t="str">
        <f>VLOOKUP(C64,customers[],2,0)</f>
        <v>Female</v>
      </c>
      <c r="F64" t="str">
        <f>VLOOKUP(C64,customers[],4,0)</f>
        <v>Cleveland</v>
      </c>
      <c r="G64">
        <v>74</v>
      </c>
      <c r="H64" s="17" t="s">
        <v>10</v>
      </c>
      <c r="I64" s="18">
        <v>44950</v>
      </c>
      <c r="J64">
        <v>66</v>
      </c>
      <c r="K64">
        <v>4</v>
      </c>
      <c r="L64">
        <f>IF(MONTH(calls[[#This Row],[Date of Call]])&lt;=6, YEAR(calls[[#This Row],[Date of Call]]), YEAR(calls[[#This Row],[Date of Call]])+1)</f>
        <v>2023</v>
      </c>
      <c r="M64" t="str">
        <f>TEXT(calls[[#This Row],[Date of Call]],"DDDD")</f>
        <v>الثلاثاء</v>
      </c>
      <c r="N64" t="str" cm="1">
        <f t="array" ref="N64">_xlfn.IFS(calls[[#This Row],[Duration]]&lt;=10,"Under 10 mins", calls[[#This Row],[Duration]]&lt;=30, "10 to 30 mins", calls[[#This Row],[Duration]]&lt;=60, "30 to 60 mins", calls[[#This Row],[Duration]]&lt;=120, "1 to 2 hours", TRUE, "More than 2 hours")</f>
        <v>1 to 2 hours</v>
      </c>
      <c r="O64">
        <f>ROUND(calls[[#This Row],[Satisfaction Rating]],0)</f>
        <v>4</v>
      </c>
    </row>
    <row r="65" spans="2:15" x14ac:dyDescent="0.25">
      <c r="B65" t="s">
        <v>86</v>
      </c>
      <c r="C65" t="s">
        <v>17</v>
      </c>
      <c r="D65">
        <f>VLOOKUP(C65,customers[],3,0)</f>
        <v>30</v>
      </c>
      <c r="E65" t="str">
        <f>VLOOKUP(C65,customers[],2,0)</f>
        <v>Female</v>
      </c>
      <c r="F65" t="str">
        <f>VLOOKUP(C65,customers[],4,0)</f>
        <v>Cleveland</v>
      </c>
      <c r="G65">
        <v>130</v>
      </c>
      <c r="H65" s="17" t="s">
        <v>12</v>
      </c>
      <c r="I65" s="18">
        <v>44950</v>
      </c>
      <c r="J65">
        <v>126</v>
      </c>
      <c r="K65">
        <v>2.5</v>
      </c>
      <c r="L65">
        <f>IF(MONTH(calls[[#This Row],[Date of Call]])&lt;=6, YEAR(calls[[#This Row],[Date of Call]]), YEAR(calls[[#This Row],[Date of Call]])+1)</f>
        <v>2023</v>
      </c>
      <c r="M65" t="str">
        <f>TEXT(calls[[#This Row],[Date of Call]],"DDDD")</f>
        <v>الثلاثاء</v>
      </c>
      <c r="N65" t="str" cm="1">
        <f t="array" ref="N65">_xlfn.IFS(calls[[#This Row],[Duration]]&lt;=10,"Under 10 mins", calls[[#This Row],[Duration]]&lt;=30, "10 to 30 mins", calls[[#This Row],[Duration]]&lt;=60, "30 to 60 mins", calls[[#This Row],[Duration]]&lt;=120, "1 to 2 hours", TRUE, "More than 2 hours")</f>
        <v>More than 2 hours</v>
      </c>
      <c r="O65">
        <f>ROUND(calls[[#This Row],[Satisfaction Rating]],0)</f>
        <v>3</v>
      </c>
    </row>
    <row r="66" spans="2:15" x14ac:dyDescent="0.25">
      <c r="B66" t="s">
        <v>87</v>
      </c>
      <c r="C66" t="s">
        <v>18</v>
      </c>
      <c r="D66">
        <f>VLOOKUP(C66,customers[],3,0)</f>
        <v>43</v>
      </c>
      <c r="E66" t="str">
        <f>VLOOKUP(C66,customers[],2,0)</f>
        <v>Female</v>
      </c>
      <c r="F66" t="str">
        <f>VLOOKUP(C66,customers[],4,0)</f>
        <v>Cleveland</v>
      </c>
      <c r="G66">
        <v>110</v>
      </c>
      <c r="H66" s="17" t="s">
        <v>5</v>
      </c>
      <c r="I66" s="18">
        <v>44950</v>
      </c>
      <c r="J66">
        <v>96</v>
      </c>
      <c r="K66">
        <v>5</v>
      </c>
      <c r="L66">
        <f>IF(MONTH(calls[[#This Row],[Date of Call]])&lt;=6, YEAR(calls[[#This Row],[Date of Call]]), YEAR(calls[[#This Row],[Date of Call]])+1)</f>
        <v>2023</v>
      </c>
      <c r="M66" t="str">
        <f>TEXT(calls[[#This Row],[Date of Call]],"DDDD")</f>
        <v>الثلاثاء</v>
      </c>
      <c r="N66" t="str" cm="1">
        <f t="array" ref="N66">_xlfn.IFS(calls[[#This Row],[Duration]]&lt;=10,"Under 10 mins", calls[[#This Row],[Duration]]&lt;=30, "10 to 30 mins", calls[[#This Row],[Duration]]&lt;=60, "30 to 60 mins", calls[[#This Row],[Duration]]&lt;=120, "1 to 2 hours", TRUE, "More than 2 hours")</f>
        <v>1 to 2 hours</v>
      </c>
      <c r="O66">
        <f>ROUND(calls[[#This Row],[Satisfaction Rating]],0)</f>
        <v>5</v>
      </c>
    </row>
    <row r="67" spans="2:15" x14ac:dyDescent="0.25">
      <c r="B67" t="s">
        <v>88</v>
      </c>
      <c r="C67" t="s">
        <v>13</v>
      </c>
      <c r="D67">
        <f>VLOOKUP(C67,customers[],3,0)</f>
        <v>37</v>
      </c>
      <c r="E67" t="str">
        <f>VLOOKUP(C67,customers[],2,0)</f>
        <v>Female</v>
      </c>
      <c r="F67" t="str">
        <f>VLOOKUP(C67,customers[],4,0)</f>
        <v>Cleveland</v>
      </c>
      <c r="G67">
        <v>71</v>
      </c>
      <c r="H67" s="17" t="s">
        <v>9</v>
      </c>
      <c r="I67" s="18">
        <v>44951</v>
      </c>
      <c r="J67">
        <v>90</v>
      </c>
      <c r="K67">
        <v>3.8</v>
      </c>
      <c r="L67">
        <f>IF(MONTH(calls[[#This Row],[Date of Call]])&lt;=6, YEAR(calls[[#This Row],[Date of Call]]), YEAR(calls[[#This Row],[Date of Call]])+1)</f>
        <v>2023</v>
      </c>
      <c r="M67" t="str">
        <f>TEXT(calls[[#This Row],[Date of Call]],"DDDD")</f>
        <v>الأربعاء</v>
      </c>
      <c r="N67" t="str" cm="1">
        <f t="array" ref="N67">_xlfn.IFS(calls[[#This Row],[Duration]]&lt;=10,"Under 10 mins", calls[[#This Row],[Duration]]&lt;=30, "10 to 30 mins", calls[[#This Row],[Duration]]&lt;=60, "30 to 60 mins", calls[[#This Row],[Duration]]&lt;=120, "1 to 2 hours", TRUE, "More than 2 hours")</f>
        <v>1 to 2 hours</v>
      </c>
      <c r="O67">
        <f>ROUND(calls[[#This Row],[Satisfaction Rating]],0)</f>
        <v>4</v>
      </c>
    </row>
    <row r="68" spans="2:15" x14ac:dyDescent="0.25">
      <c r="B68" t="s">
        <v>89</v>
      </c>
      <c r="C68" t="s">
        <v>16</v>
      </c>
      <c r="D68">
        <f>VLOOKUP(C68,customers[],3,0)</f>
        <v>41</v>
      </c>
      <c r="E68" t="str">
        <f>VLOOKUP(C68,customers[],2,0)</f>
        <v>Male</v>
      </c>
      <c r="F68" t="str">
        <f>VLOOKUP(C68,customers[],4,0)</f>
        <v>Columbus</v>
      </c>
      <c r="G68">
        <v>147</v>
      </c>
      <c r="H68" s="17" t="s">
        <v>12</v>
      </c>
      <c r="I68" s="18">
        <v>44951</v>
      </c>
      <c r="J68">
        <v>105</v>
      </c>
      <c r="K68">
        <v>4.4000000000000004</v>
      </c>
      <c r="L68">
        <f>IF(MONTH(calls[[#This Row],[Date of Call]])&lt;=6, YEAR(calls[[#This Row],[Date of Call]]), YEAR(calls[[#This Row],[Date of Call]])+1)</f>
        <v>2023</v>
      </c>
      <c r="M68" t="str">
        <f>TEXT(calls[[#This Row],[Date of Call]],"DDDD")</f>
        <v>الأربعاء</v>
      </c>
      <c r="N68" t="str" cm="1">
        <f t="array" ref="N68">_xlfn.IFS(calls[[#This Row],[Duration]]&lt;=10,"Under 10 mins", calls[[#This Row],[Duration]]&lt;=30, "10 to 30 mins", calls[[#This Row],[Duration]]&lt;=60, "30 to 60 mins", calls[[#This Row],[Duration]]&lt;=120, "1 to 2 hours", TRUE, "More than 2 hours")</f>
        <v>More than 2 hours</v>
      </c>
      <c r="O68">
        <f>ROUND(calls[[#This Row],[Satisfaction Rating]],0)</f>
        <v>4</v>
      </c>
    </row>
    <row r="69" spans="2:15" x14ac:dyDescent="0.25">
      <c r="B69" t="s">
        <v>90</v>
      </c>
      <c r="C69" t="s">
        <v>11</v>
      </c>
      <c r="D69">
        <f>VLOOKUP(C69,customers[],3,0)</f>
        <v>36</v>
      </c>
      <c r="E69" t="str">
        <f>VLOOKUP(C69,customers[],2,0)</f>
        <v>Male</v>
      </c>
      <c r="F69" t="str">
        <f>VLOOKUP(C69,customers[],4,0)</f>
        <v>Cincinnati</v>
      </c>
      <c r="G69">
        <v>69</v>
      </c>
      <c r="H69" s="17" t="s">
        <v>8</v>
      </c>
      <c r="I69" s="18">
        <v>44952</v>
      </c>
      <c r="J69">
        <v>40</v>
      </c>
      <c r="K69">
        <v>3.8</v>
      </c>
      <c r="L69">
        <f>IF(MONTH(calls[[#This Row],[Date of Call]])&lt;=6, YEAR(calls[[#This Row],[Date of Call]]), YEAR(calls[[#This Row],[Date of Call]])+1)</f>
        <v>2023</v>
      </c>
      <c r="M69" t="str">
        <f>TEXT(calls[[#This Row],[Date of Call]],"DDDD")</f>
        <v>الخميس</v>
      </c>
      <c r="N69" t="str" cm="1">
        <f t="array" ref="N69">_xlfn.IFS(calls[[#This Row],[Duration]]&lt;=10,"Under 10 mins", calls[[#This Row],[Duration]]&lt;=30, "10 to 30 mins", calls[[#This Row],[Duration]]&lt;=60, "30 to 60 mins", calls[[#This Row],[Duration]]&lt;=120, "1 to 2 hours", TRUE, "More than 2 hours")</f>
        <v>1 to 2 hours</v>
      </c>
      <c r="O69">
        <f>ROUND(calls[[#This Row],[Satisfaction Rating]],0)</f>
        <v>4</v>
      </c>
    </row>
    <row r="70" spans="2:15" x14ac:dyDescent="0.25">
      <c r="B70" t="s">
        <v>91</v>
      </c>
      <c r="C70" t="s">
        <v>18</v>
      </c>
      <c r="D70">
        <f>VLOOKUP(C70,customers[],3,0)</f>
        <v>43</v>
      </c>
      <c r="E70" t="str">
        <f>VLOOKUP(C70,customers[],2,0)</f>
        <v>Female</v>
      </c>
      <c r="F70" t="str">
        <f>VLOOKUP(C70,customers[],4,0)</f>
        <v>Cleveland</v>
      </c>
      <c r="G70">
        <v>50</v>
      </c>
      <c r="H70" s="17" t="s">
        <v>9</v>
      </c>
      <c r="I70" s="18">
        <v>44952</v>
      </c>
      <c r="J70">
        <v>60</v>
      </c>
      <c r="K70">
        <v>2</v>
      </c>
      <c r="L70">
        <f>IF(MONTH(calls[[#This Row],[Date of Call]])&lt;=6, YEAR(calls[[#This Row],[Date of Call]]), YEAR(calls[[#This Row],[Date of Call]])+1)</f>
        <v>2023</v>
      </c>
      <c r="M70" t="str">
        <f>TEXT(calls[[#This Row],[Date of Call]],"DDDD")</f>
        <v>الخميس</v>
      </c>
      <c r="N70" t="str" cm="1">
        <f t="array" ref="N70">_xlfn.IFS(calls[[#This Row],[Duration]]&lt;=10,"Under 10 mins", calls[[#This Row],[Duration]]&lt;=30, "10 to 30 mins", calls[[#This Row],[Duration]]&lt;=60, "30 to 60 mins", calls[[#This Row],[Duration]]&lt;=120, "1 to 2 hours", TRUE, "More than 2 hours")</f>
        <v>30 to 60 mins</v>
      </c>
      <c r="O70">
        <f>ROUND(calls[[#This Row],[Satisfaction Rating]],0)</f>
        <v>2</v>
      </c>
    </row>
    <row r="71" spans="2:15" x14ac:dyDescent="0.25">
      <c r="B71" t="s">
        <v>92</v>
      </c>
      <c r="C71" t="s">
        <v>17</v>
      </c>
      <c r="D71">
        <f>VLOOKUP(C71,customers[],3,0)</f>
        <v>30</v>
      </c>
      <c r="E71" t="str">
        <f>VLOOKUP(C71,customers[],2,0)</f>
        <v>Female</v>
      </c>
      <c r="F71" t="str">
        <f>VLOOKUP(C71,customers[],4,0)</f>
        <v>Cleveland</v>
      </c>
      <c r="G71">
        <v>124</v>
      </c>
      <c r="H71" s="17" t="s">
        <v>12</v>
      </c>
      <c r="I71" s="18">
        <v>44953</v>
      </c>
      <c r="J71">
        <v>215</v>
      </c>
      <c r="K71">
        <v>4.0999999999999996</v>
      </c>
      <c r="L71">
        <f>IF(MONTH(calls[[#This Row],[Date of Call]])&lt;=6, YEAR(calls[[#This Row],[Date of Call]]), YEAR(calls[[#This Row],[Date of Call]])+1)</f>
        <v>2023</v>
      </c>
      <c r="M71" t="str">
        <f>TEXT(calls[[#This Row],[Date of Call]],"DDDD")</f>
        <v>الجمعة</v>
      </c>
      <c r="N71" t="str" cm="1">
        <f t="array" ref="N71">_xlfn.IFS(calls[[#This Row],[Duration]]&lt;=10,"Under 10 mins", calls[[#This Row],[Duration]]&lt;=30, "10 to 30 mins", calls[[#This Row],[Duration]]&lt;=60, "30 to 60 mins", calls[[#This Row],[Duration]]&lt;=120, "1 to 2 hours", TRUE, "More than 2 hours")</f>
        <v>More than 2 hours</v>
      </c>
      <c r="O71">
        <f>ROUND(calls[[#This Row],[Satisfaction Rating]],0)</f>
        <v>4</v>
      </c>
    </row>
    <row r="72" spans="2:15" x14ac:dyDescent="0.25">
      <c r="B72" t="s">
        <v>93</v>
      </c>
      <c r="C72" t="s">
        <v>22</v>
      </c>
      <c r="D72">
        <f>VLOOKUP(C72,customers[],3,0)</f>
        <v>37</v>
      </c>
      <c r="E72" t="str">
        <f>VLOOKUP(C72,customers[],2,0)</f>
        <v>Male</v>
      </c>
      <c r="F72" t="str">
        <f>VLOOKUP(C72,customers[],4,0)</f>
        <v>Columbus</v>
      </c>
      <c r="G72">
        <v>81</v>
      </c>
      <c r="H72" s="17" t="s">
        <v>10</v>
      </c>
      <c r="I72" s="18">
        <v>44953</v>
      </c>
      <c r="J72">
        <v>156</v>
      </c>
      <c r="K72">
        <v>2.6</v>
      </c>
      <c r="L72">
        <f>IF(MONTH(calls[[#This Row],[Date of Call]])&lt;=6, YEAR(calls[[#This Row],[Date of Call]]), YEAR(calls[[#This Row],[Date of Call]])+1)</f>
        <v>2023</v>
      </c>
      <c r="M72" t="str">
        <f>TEXT(calls[[#This Row],[Date of Call]],"DDDD")</f>
        <v>الجمعة</v>
      </c>
      <c r="N72" t="str" cm="1">
        <f t="array" ref="N72">_xlfn.IFS(calls[[#This Row],[Duration]]&lt;=10,"Under 10 mins", calls[[#This Row],[Duration]]&lt;=30, "10 to 30 mins", calls[[#This Row],[Duration]]&lt;=60, "30 to 60 mins", calls[[#This Row],[Duration]]&lt;=120, "1 to 2 hours", TRUE, "More than 2 hours")</f>
        <v>1 to 2 hours</v>
      </c>
      <c r="O72">
        <f>ROUND(calls[[#This Row],[Satisfaction Rating]],0)</f>
        <v>3</v>
      </c>
    </row>
    <row r="73" spans="2:15" x14ac:dyDescent="0.25">
      <c r="B73" t="s">
        <v>94</v>
      </c>
      <c r="C73" t="s">
        <v>6</v>
      </c>
      <c r="D73">
        <f>VLOOKUP(C73,customers[],3,0)</f>
        <v>23</v>
      </c>
      <c r="E73" t="str">
        <f>VLOOKUP(C73,customers[],2,0)</f>
        <v>Male</v>
      </c>
      <c r="F73" t="str">
        <f>VLOOKUP(C73,customers[],4,0)</f>
        <v>Columbus</v>
      </c>
      <c r="G73">
        <v>141</v>
      </c>
      <c r="H73" s="17" t="s">
        <v>5</v>
      </c>
      <c r="I73" s="18">
        <v>44953</v>
      </c>
      <c r="J73">
        <v>54</v>
      </c>
      <c r="K73">
        <v>0</v>
      </c>
      <c r="L73">
        <f>IF(MONTH(calls[[#This Row],[Date of Call]])&lt;=6, YEAR(calls[[#This Row],[Date of Call]]), YEAR(calls[[#This Row],[Date of Call]])+1)</f>
        <v>2023</v>
      </c>
      <c r="M73" t="str">
        <f>TEXT(calls[[#This Row],[Date of Call]],"DDDD")</f>
        <v>الجمعة</v>
      </c>
      <c r="N73" t="str" cm="1">
        <f t="array" ref="N73">_xlfn.IFS(calls[[#This Row],[Duration]]&lt;=10,"Under 10 mins", calls[[#This Row],[Duration]]&lt;=30, "10 to 30 mins", calls[[#This Row],[Duration]]&lt;=60, "30 to 60 mins", calls[[#This Row],[Duration]]&lt;=120, "1 to 2 hours", TRUE, "More than 2 hours")</f>
        <v>More than 2 hours</v>
      </c>
      <c r="O73">
        <f>ROUND(calls[[#This Row],[Satisfaction Rating]],0)</f>
        <v>0</v>
      </c>
    </row>
    <row r="74" spans="2:15" x14ac:dyDescent="0.25">
      <c r="B74" t="s">
        <v>95</v>
      </c>
      <c r="C74" t="s">
        <v>6</v>
      </c>
      <c r="D74">
        <f>VLOOKUP(C74,customers[],3,0)</f>
        <v>23</v>
      </c>
      <c r="E74" t="str">
        <f>VLOOKUP(C74,customers[],2,0)</f>
        <v>Male</v>
      </c>
      <c r="F74" t="str">
        <f>VLOOKUP(C74,customers[],4,0)</f>
        <v>Columbus</v>
      </c>
      <c r="G74">
        <v>168</v>
      </c>
      <c r="H74" s="17" t="s">
        <v>5</v>
      </c>
      <c r="I74" s="18">
        <v>44954</v>
      </c>
      <c r="J74">
        <v>160</v>
      </c>
      <c r="K74">
        <v>3.9</v>
      </c>
      <c r="L74">
        <f>IF(MONTH(calls[[#This Row],[Date of Call]])&lt;=6, YEAR(calls[[#This Row],[Date of Call]]), YEAR(calls[[#This Row],[Date of Call]])+1)</f>
        <v>2023</v>
      </c>
      <c r="M74" t="str">
        <f>TEXT(calls[[#This Row],[Date of Call]],"DDDD")</f>
        <v>السبت</v>
      </c>
      <c r="N74" t="str" cm="1">
        <f t="array" ref="N74">_xlfn.IFS(calls[[#This Row],[Duration]]&lt;=10,"Under 10 mins", calls[[#This Row],[Duration]]&lt;=30, "10 to 30 mins", calls[[#This Row],[Duration]]&lt;=60, "30 to 60 mins", calls[[#This Row],[Duration]]&lt;=120, "1 to 2 hours", TRUE, "More than 2 hours")</f>
        <v>More than 2 hours</v>
      </c>
      <c r="O74">
        <f>ROUND(calls[[#This Row],[Satisfaction Rating]],0)</f>
        <v>4</v>
      </c>
    </row>
    <row r="75" spans="2:15" x14ac:dyDescent="0.25">
      <c r="B75" t="s">
        <v>96</v>
      </c>
      <c r="C75" t="s">
        <v>16</v>
      </c>
      <c r="D75">
        <f>VLOOKUP(C75,customers[],3,0)</f>
        <v>41</v>
      </c>
      <c r="E75" t="str">
        <f>VLOOKUP(C75,customers[],2,0)</f>
        <v>Male</v>
      </c>
      <c r="F75" t="str">
        <f>VLOOKUP(C75,customers[],4,0)</f>
        <v>Columbus</v>
      </c>
      <c r="G75">
        <v>101</v>
      </c>
      <c r="H75" s="17" t="s">
        <v>10</v>
      </c>
      <c r="I75" s="18">
        <v>44954</v>
      </c>
      <c r="J75">
        <v>80</v>
      </c>
      <c r="K75">
        <v>4.8</v>
      </c>
      <c r="L75">
        <f>IF(MONTH(calls[[#This Row],[Date of Call]])&lt;=6, YEAR(calls[[#This Row],[Date of Call]]), YEAR(calls[[#This Row],[Date of Call]])+1)</f>
        <v>2023</v>
      </c>
      <c r="M75" t="str">
        <f>TEXT(calls[[#This Row],[Date of Call]],"DDDD")</f>
        <v>السبت</v>
      </c>
      <c r="N75" t="str" cm="1">
        <f t="array" ref="N75">_xlfn.IFS(calls[[#This Row],[Duration]]&lt;=10,"Under 10 mins", calls[[#This Row],[Duration]]&lt;=30, "10 to 30 mins", calls[[#This Row],[Duration]]&lt;=60, "30 to 60 mins", calls[[#This Row],[Duration]]&lt;=120, "1 to 2 hours", TRUE, "More than 2 hours")</f>
        <v>1 to 2 hours</v>
      </c>
      <c r="O75">
        <f>ROUND(calls[[#This Row],[Satisfaction Rating]],0)</f>
        <v>5</v>
      </c>
    </row>
    <row r="76" spans="2:15" x14ac:dyDescent="0.25">
      <c r="B76" t="s">
        <v>97</v>
      </c>
      <c r="C76" t="s">
        <v>13</v>
      </c>
      <c r="D76">
        <f>VLOOKUP(C76,customers[],3,0)</f>
        <v>37</v>
      </c>
      <c r="E76" t="str">
        <f>VLOOKUP(C76,customers[],2,0)</f>
        <v>Female</v>
      </c>
      <c r="F76" t="str">
        <f>VLOOKUP(C76,customers[],4,0)</f>
        <v>Cleveland</v>
      </c>
      <c r="G76">
        <v>67</v>
      </c>
      <c r="H76" s="17" t="s">
        <v>10</v>
      </c>
      <c r="I76" s="18">
        <v>44954</v>
      </c>
      <c r="J76">
        <v>168</v>
      </c>
      <c r="K76">
        <v>2.6</v>
      </c>
      <c r="L76">
        <f>IF(MONTH(calls[[#This Row],[Date of Call]])&lt;=6, YEAR(calls[[#This Row],[Date of Call]]), YEAR(calls[[#This Row],[Date of Call]])+1)</f>
        <v>2023</v>
      </c>
      <c r="M76" t="str">
        <f>TEXT(calls[[#This Row],[Date of Call]],"DDDD")</f>
        <v>السبت</v>
      </c>
      <c r="N76" t="str" cm="1">
        <f t="array" ref="N76">_xlfn.IFS(calls[[#This Row],[Duration]]&lt;=10,"Under 10 mins", calls[[#This Row],[Duration]]&lt;=30, "10 to 30 mins", calls[[#This Row],[Duration]]&lt;=60, "30 to 60 mins", calls[[#This Row],[Duration]]&lt;=120, "1 to 2 hours", TRUE, "More than 2 hours")</f>
        <v>1 to 2 hours</v>
      </c>
      <c r="O76">
        <f>ROUND(calls[[#This Row],[Satisfaction Rating]],0)</f>
        <v>3</v>
      </c>
    </row>
    <row r="77" spans="2:15" x14ac:dyDescent="0.25">
      <c r="B77" t="s">
        <v>98</v>
      </c>
      <c r="C77" t="s">
        <v>4</v>
      </c>
      <c r="D77">
        <f>VLOOKUP(C77,customers[],3,0)</f>
        <v>42</v>
      </c>
      <c r="E77" t="str">
        <f>VLOOKUP(C77,customers[],2,0)</f>
        <v>Female</v>
      </c>
      <c r="F77" t="str">
        <f>VLOOKUP(C77,customers[],4,0)</f>
        <v>Cleveland</v>
      </c>
      <c r="G77">
        <v>114</v>
      </c>
      <c r="H77" s="17" t="s">
        <v>5</v>
      </c>
      <c r="I77" s="18">
        <v>44956</v>
      </c>
      <c r="J77">
        <v>42</v>
      </c>
      <c r="K77">
        <v>2.6</v>
      </c>
      <c r="L77">
        <f>IF(MONTH(calls[[#This Row],[Date of Call]])&lt;=6, YEAR(calls[[#This Row],[Date of Call]]), YEAR(calls[[#This Row],[Date of Call]])+1)</f>
        <v>2023</v>
      </c>
      <c r="M77" t="str">
        <f>TEXT(calls[[#This Row],[Date of Call]],"DDDD")</f>
        <v>الإثنين</v>
      </c>
      <c r="N77" t="str" cm="1">
        <f t="array" ref="N77">_xlfn.IFS(calls[[#This Row],[Duration]]&lt;=10,"Under 10 mins", calls[[#This Row],[Duration]]&lt;=30, "10 to 30 mins", calls[[#This Row],[Duration]]&lt;=60, "30 to 60 mins", calls[[#This Row],[Duration]]&lt;=120, "1 to 2 hours", TRUE, "More than 2 hours")</f>
        <v>1 to 2 hours</v>
      </c>
      <c r="O77">
        <f>ROUND(calls[[#This Row],[Satisfaction Rating]],0)</f>
        <v>3</v>
      </c>
    </row>
    <row r="78" spans="2:15" x14ac:dyDescent="0.25">
      <c r="B78" t="s">
        <v>99</v>
      </c>
      <c r="C78" t="s">
        <v>22</v>
      </c>
      <c r="D78">
        <f>VLOOKUP(C78,customers[],3,0)</f>
        <v>37</v>
      </c>
      <c r="E78" t="str">
        <f>VLOOKUP(C78,customers[],2,0)</f>
        <v>Male</v>
      </c>
      <c r="F78" t="str">
        <f>VLOOKUP(C78,customers[],4,0)</f>
        <v>Columbus</v>
      </c>
      <c r="G78">
        <v>42</v>
      </c>
      <c r="H78" s="17" t="s">
        <v>10</v>
      </c>
      <c r="I78" s="18">
        <v>44956</v>
      </c>
      <c r="J78">
        <v>205</v>
      </c>
      <c r="K78">
        <v>3.6</v>
      </c>
      <c r="L78">
        <f>IF(MONTH(calls[[#This Row],[Date of Call]])&lt;=6, YEAR(calls[[#This Row],[Date of Call]]), YEAR(calls[[#This Row],[Date of Call]])+1)</f>
        <v>2023</v>
      </c>
      <c r="M78" t="str">
        <f>TEXT(calls[[#This Row],[Date of Call]],"DDDD")</f>
        <v>الإثنين</v>
      </c>
      <c r="N78" t="str" cm="1">
        <f t="array" ref="N78">_xlfn.IFS(calls[[#This Row],[Duration]]&lt;=10,"Under 10 mins", calls[[#This Row],[Duration]]&lt;=30, "10 to 30 mins", calls[[#This Row],[Duration]]&lt;=60, "30 to 60 mins", calls[[#This Row],[Duration]]&lt;=120, "1 to 2 hours", TRUE, "More than 2 hours")</f>
        <v>30 to 60 mins</v>
      </c>
      <c r="O78">
        <f>ROUND(calls[[#This Row],[Satisfaction Rating]],0)</f>
        <v>4</v>
      </c>
    </row>
    <row r="79" spans="2:15" x14ac:dyDescent="0.25">
      <c r="B79" t="s">
        <v>100</v>
      </c>
      <c r="C79" t="s">
        <v>7</v>
      </c>
      <c r="D79">
        <f>VLOOKUP(C79,customers[],3,0)</f>
        <v>30</v>
      </c>
      <c r="E79" t="str">
        <f>VLOOKUP(C79,customers[],2,0)</f>
        <v>Female</v>
      </c>
      <c r="F79" t="str">
        <f>VLOOKUP(C79,customers[],4,0)</f>
        <v>Cincinnati</v>
      </c>
      <c r="G79">
        <v>69</v>
      </c>
      <c r="H79" s="17" t="s">
        <v>5</v>
      </c>
      <c r="I79" s="18">
        <v>44956</v>
      </c>
      <c r="J79">
        <v>108</v>
      </c>
      <c r="K79">
        <v>3.3</v>
      </c>
      <c r="L79">
        <f>IF(MONTH(calls[[#This Row],[Date of Call]])&lt;=6, YEAR(calls[[#This Row],[Date of Call]]), YEAR(calls[[#This Row],[Date of Call]])+1)</f>
        <v>2023</v>
      </c>
      <c r="M79" t="str">
        <f>TEXT(calls[[#This Row],[Date of Call]],"DDDD")</f>
        <v>الإثنين</v>
      </c>
      <c r="N79" t="str" cm="1">
        <f t="array" ref="N79">_xlfn.IFS(calls[[#This Row],[Duration]]&lt;=10,"Under 10 mins", calls[[#This Row],[Duration]]&lt;=30, "10 to 30 mins", calls[[#This Row],[Duration]]&lt;=60, "30 to 60 mins", calls[[#This Row],[Duration]]&lt;=120, "1 to 2 hours", TRUE, "More than 2 hours")</f>
        <v>1 to 2 hours</v>
      </c>
      <c r="O79">
        <f>ROUND(calls[[#This Row],[Satisfaction Rating]],0)</f>
        <v>3</v>
      </c>
    </row>
    <row r="80" spans="2:15" x14ac:dyDescent="0.25">
      <c r="B80" t="s">
        <v>101</v>
      </c>
      <c r="C80" t="s">
        <v>17</v>
      </c>
      <c r="D80">
        <f>VLOOKUP(C80,customers[],3,0)</f>
        <v>30</v>
      </c>
      <c r="E80" t="str">
        <f>VLOOKUP(C80,customers[],2,0)</f>
        <v>Female</v>
      </c>
      <c r="F80" t="str">
        <f>VLOOKUP(C80,customers[],4,0)</f>
        <v>Cleveland</v>
      </c>
      <c r="G80">
        <v>145</v>
      </c>
      <c r="H80" s="17" t="s">
        <v>8</v>
      </c>
      <c r="I80" s="18">
        <v>44956</v>
      </c>
      <c r="J80">
        <v>78</v>
      </c>
      <c r="K80">
        <v>1.9</v>
      </c>
      <c r="L80">
        <f>IF(MONTH(calls[[#This Row],[Date of Call]])&lt;=6, YEAR(calls[[#This Row],[Date of Call]]), YEAR(calls[[#This Row],[Date of Call]])+1)</f>
        <v>2023</v>
      </c>
      <c r="M80" t="str">
        <f>TEXT(calls[[#This Row],[Date of Call]],"DDDD")</f>
        <v>الإثنين</v>
      </c>
      <c r="N80" t="str" cm="1">
        <f t="array" ref="N80">_xlfn.IFS(calls[[#This Row],[Duration]]&lt;=10,"Under 10 mins", calls[[#This Row],[Duration]]&lt;=30, "10 to 30 mins", calls[[#This Row],[Duration]]&lt;=60, "30 to 60 mins", calls[[#This Row],[Duration]]&lt;=120, "1 to 2 hours", TRUE, "More than 2 hours")</f>
        <v>More than 2 hours</v>
      </c>
      <c r="O80">
        <f>ROUND(calls[[#This Row],[Satisfaction Rating]],0)</f>
        <v>2</v>
      </c>
    </row>
    <row r="81" spans="2:15" x14ac:dyDescent="0.25">
      <c r="B81" t="s">
        <v>102</v>
      </c>
      <c r="C81" t="s">
        <v>11</v>
      </c>
      <c r="D81">
        <f>VLOOKUP(C81,customers[],3,0)</f>
        <v>36</v>
      </c>
      <c r="E81" t="str">
        <f>VLOOKUP(C81,customers[],2,0)</f>
        <v>Male</v>
      </c>
      <c r="F81" t="str">
        <f>VLOOKUP(C81,customers[],4,0)</f>
        <v>Cincinnati</v>
      </c>
      <c r="G81">
        <v>43</v>
      </c>
      <c r="H81" s="17" t="s">
        <v>5</v>
      </c>
      <c r="I81" s="18">
        <v>44956</v>
      </c>
      <c r="J81">
        <v>23</v>
      </c>
      <c r="K81">
        <v>4.9000000000000004</v>
      </c>
      <c r="L81">
        <f>IF(MONTH(calls[[#This Row],[Date of Call]])&lt;=6, YEAR(calls[[#This Row],[Date of Call]]), YEAR(calls[[#This Row],[Date of Call]])+1)</f>
        <v>2023</v>
      </c>
      <c r="M81" t="str">
        <f>TEXT(calls[[#This Row],[Date of Call]],"DDDD")</f>
        <v>الإثنين</v>
      </c>
      <c r="N81" t="str" cm="1">
        <f t="array" ref="N81">_xlfn.IFS(calls[[#This Row],[Duration]]&lt;=10,"Under 10 mins", calls[[#This Row],[Duration]]&lt;=30, "10 to 30 mins", calls[[#This Row],[Duration]]&lt;=60, "30 to 60 mins", calls[[#This Row],[Duration]]&lt;=120, "1 to 2 hours", TRUE, "More than 2 hours")</f>
        <v>30 to 60 mins</v>
      </c>
      <c r="O81">
        <f>ROUND(calls[[#This Row],[Satisfaction Rating]],0)</f>
        <v>5</v>
      </c>
    </row>
    <row r="82" spans="2:15" x14ac:dyDescent="0.25">
      <c r="B82" t="s">
        <v>103</v>
      </c>
      <c r="C82" t="s">
        <v>7</v>
      </c>
      <c r="D82">
        <f>VLOOKUP(C82,customers[],3,0)</f>
        <v>30</v>
      </c>
      <c r="E82" t="str">
        <f>VLOOKUP(C82,customers[],2,0)</f>
        <v>Female</v>
      </c>
      <c r="F82" t="str">
        <f>VLOOKUP(C82,customers[],4,0)</f>
        <v>Cincinnati</v>
      </c>
      <c r="G82">
        <v>62</v>
      </c>
      <c r="H82" s="17" t="s">
        <v>9</v>
      </c>
      <c r="I82" s="18">
        <v>44957</v>
      </c>
      <c r="J82">
        <v>99</v>
      </c>
      <c r="K82">
        <v>3.6</v>
      </c>
      <c r="L82">
        <f>IF(MONTH(calls[[#This Row],[Date of Call]])&lt;=6, YEAR(calls[[#This Row],[Date of Call]]), YEAR(calls[[#This Row],[Date of Call]])+1)</f>
        <v>2023</v>
      </c>
      <c r="M82" t="str">
        <f>TEXT(calls[[#This Row],[Date of Call]],"DDDD")</f>
        <v>الثلاثاء</v>
      </c>
      <c r="N82" t="str" cm="1">
        <f t="array" ref="N82">_xlfn.IFS(calls[[#This Row],[Duration]]&lt;=10,"Under 10 mins", calls[[#This Row],[Duration]]&lt;=30, "10 to 30 mins", calls[[#This Row],[Duration]]&lt;=60, "30 to 60 mins", calls[[#This Row],[Duration]]&lt;=120, "1 to 2 hours", TRUE, "More than 2 hours")</f>
        <v>1 to 2 hours</v>
      </c>
      <c r="O82">
        <f>ROUND(calls[[#This Row],[Satisfaction Rating]],0)</f>
        <v>4</v>
      </c>
    </row>
    <row r="83" spans="2:15" x14ac:dyDescent="0.25">
      <c r="B83" t="s">
        <v>104</v>
      </c>
      <c r="C83" t="s">
        <v>21</v>
      </c>
      <c r="D83">
        <f>VLOOKUP(C83,customers[],3,0)</f>
        <v>25</v>
      </c>
      <c r="E83" t="str">
        <f>VLOOKUP(C83,customers[],2,0)</f>
        <v>Female</v>
      </c>
      <c r="F83" t="str">
        <f>VLOOKUP(C83,customers[],4,0)</f>
        <v>Columbus</v>
      </c>
      <c r="G83">
        <v>79</v>
      </c>
      <c r="H83" s="17" t="s">
        <v>5</v>
      </c>
      <c r="I83" s="18">
        <v>44958</v>
      </c>
      <c r="J83">
        <v>148</v>
      </c>
      <c r="K83">
        <v>4.5</v>
      </c>
      <c r="L83">
        <f>IF(MONTH(calls[[#This Row],[Date of Call]])&lt;=6, YEAR(calls[[#This Row],[Date of Call]]), YEAR(calls[[#This Row],[Date of Call]])+1)</f>
        <v>2023</v>
      </c>
      <c r="M83" t="str">
        <f>TEXT(calls[[#This Row],[Date of Call]],"DDDD")</f>
        <v>الأربعاء</v>
      </c>
      <c r="N83" t="str" cm="1">
        <f t="array" ref="N83">_xlfn.IFS(calls[[#This Row],[Duration]]&lt;=10,"Under 10 mins", calls[[#This Row],[Duration]]&lt;=30, "10 to 30 mins", calls[[#This Row],[Duration]]&lt;=60, "30 to 60 mins", calls[[#This Row],[Duration]]&lt;=120, "1 to 2 hours", TRUE, "More than 2 hours")</f>
        <v>1 to 2 hours</v>
      </c>
      <c r="O83">
        <f>ROUND(calls[[#This Row],[Satisfaction Rating]],0)</f>
        <v>5</v>
      </c>
    </row>
    <row r="84" spans="2:15" x14ac:dyDescent="0.25">
      <c r="B84" t="s">
        <v>105</v>
      </c>
      <c r="C84" t="s">
        <v>17</v>
      </c>
      <c r="D84">
        <f>VLOOKUP(C84,customers[],3,0)</f>
        <v>30</v>
      </c>
      <c r="E84" t="str">
        <f>VLOOKUP(C84,customers[],2,0)</f>
        <v>Female</v>
      </c>
      <c r="F84" t="str">
        <f>VLOOKUP(C84,customers[],4,0)</f>
        <v>Cleveland</v>
      </c>
      <c r="G84">
        <v>45</v>
      </c>
      <c r="H84" s="17" t="s">
        <v>12</v>
      </c>
      <c r="I84" s="18">
        <v>44958</v>
      </c>
      <c r="J84">
        <v>34</v>
      </c>
      <c r="K84">
        <v>3.7</v>
      </c>
      <c r="L84">
        <f>IF(MONTH(calls[[#This Row],[Date of Call]])&lt;=6, YEAR(calls[[#This Row],[Date of Call]]), YEAR(calls[[#This Row],[Date of Call]])+1)</f>
        <v>2023</v>
      </c>
      <c r="M84" t="str">
        <f>TEXT(calls[[#This Row],[Date of Call]],"DDDD")</f>
        <v>الأربعاء</v>
      </c>
      <c r="N84" t="str" cm="1">
        <f t="array" ref="N84">_xlfn.IFS(calls[[#This Row],[Duration]]&lt;=10,"Under 10 mins", calls[[#This Row],[Duration]]&lt;=30, "10 to 30 mins", calls[[#This Row],[Duration]]&lt;=60, "30 to 60 mins", calls[[#This Row],[Duration]]&lt;=120, "1 to 2 hours", TRUE, "More than 2 hours")</f>
        <v>30 to 60 mins</v>
      </c>
      <c r="O84">
        <f>ROUND(calls[[#This Row],[Satisfaction Rating]],0)</f>
        <v>4</v>
      </c>
    </row>
    <row r="85" spans="2:15" x14ac:dyDescent="0.25">
      <c r="B85" t="s">
        <v>106</v>
      </c>
      <c r="C85" t="s">
        <v>7</v>
      </c>
      <c r="D85">
        <f>VLOOKUP(C85,customers[],3,0)</f>
        <v>30</v>
      </c>
      <c r="E85" t="str">
        <f>VLOOKUP(C85,customers[],2,0)</f>
        <v>Female</v>
      </c>
      <c r="F85" t="str">
        <f>VLOOKUP(C85,customers[],4,0)</f>
        <v>Cincinnati</v>
      </c>
      <c r="G85">
        <v>137</v>
      </c>
      <c r="H85" s="17" t="s">
        <v>5</v>
      </c>
      <c r="I85" s="18">
        <v>44958</v>
      </c>
      <c r="J85">
        <v>86</v>
      </c>
      <c r="K85">
        <v>4.8</v>
      </c>
      <c r="L85">
        <f>IF(MONTH(calls[[#This Row],[Date of Call]])&lt;=6, YEAR(calls[[#This Row],[Date of Call]]), YEAR(calls[[#This Row],[Date of Call]])+1)</f>
        <v>2023</v>
      </c>
      <c r="M85" t="str">
        <f>TEXT(calls[[#This Row],[Date of Call]],"DDDD")</f>
        <v>الأربعاء</v>
      </c>
      <c r="N85" t="str" cm="1">
        <f t="array" ref="N85">_xlfn.IFS(calls[[#This Row],[Duration]]&lt;=10,"Under 10 mins", calls[[#This Row],[Duration]]&lt;=30, "10 to 30 mins", calls[[#This Row],[Duration]]&lt;=60, "30 to 60 mins", calls[[#This Row],[Duration]]&lt;=120, "1 to 2 hours", TRUE, "More than 2 hours")</f>
        <v>More than 2 hours</v>
      </c>
      <c r="O85">
        <f>ROUND(calls[[#This Row],[Satisfaction Rating]],0)</f>
        <v>5</v>
      </c>
    </row>
    <row r="86" spans="2:15" x14ac:dyDescent="0.25">
      <c r="B86" t="s">
        <v>107</v>
      </c>
      <c r="C86" t="s">
        <v>4</v>
      </c>
      <c r="D86">
        <f>VLOOKUP(C86,customers[],3,0)</f>
        <v>42</v>
      </c>
      <c r="E86" t="str">
        <f>VLOOKUP(C86,customers[],2,0)</f>
        <v>Female</v>
      </c>
      <c r="F86" t="str">
        <f>VLOOKUP(C86,customers[],4,0)</f>
        <v>Cleveland</v>
      </c>
      <c r="G86">
        <v>109</v>
      </c>
      <c r="H86" s="17" t="s">
        <v>9</v>
      </c>
      <c r="I86" s="18">
        <v>44958</v>
      </c>
      <c r="J86">
        <v>105</v>
      </c>
      <c r="K86">
        <v>3.3</v>
      </c>
      <c r="L86">
        <f>IF(MONTH(calls[[#This Row],[Date of Call]])&lt;=6, YEAR(calls[[#This Row],[Date of Call]]), YEAR(calls[[#This Row],[Date of Call]])+1)</f>
        <v>2023</v>
      </c>
      <c r="M86" t="str">
        <f>TEXT(calls[[#This Row],[Date of Call]],"DDDD")</f>
        <v>الأربعاء</v>
      </c>
      <c r="N86" t="str" cm="1">
        <f t="array" ref="N86">_xlfn.IFS(calls[[#This Row],[Duration]]&lt;=10,"Under 10 mins", calls[[#This Row],[Duration]]&lt;=30, "10 to 30 mins", calls[[#This Row],[Duration]]&lt;=60, "30 to 60 mins", calls[[#This Row],[Duration]]&lt;=120, "1 to 2 hours", TRUE, "More than 2 hours")</f>
        <v>1 to 2 hours</v>
      </c>
      <c r="O86">
        <f>ROUND(calls[[#This Row],[Satisfaction Rating]],0)</f>
        <v>3</v>
      </c>
    </row>
    <row r="87" spans="2:15" x14ac:dyDescent="0.25">
      <c r="B87" t="s">
        <v>108</v>
      </c>
      <c r="C87" t="s">
        <v>11</v>
      </c>
      <c r="D87">
        <f>VLOOKUP(C87,customers[],3,0)</f>
        <v>36</v>
      </c>
      <c r="E87" t="str">
        <f>VLOOKUP(C87,customers[],2,0)</f>
        <v>Male</v>
      </c>
      <c r="F87" t="str">
        <f>VLOOKUP(C87,customers[],4,0)</f>
        <v>Cincinnati</v>
      </c>
      <c r="G87">
        <v>78</v>
      </c>
      <c r="H87" s="17" t="s">
        <v>9</v>
      </c>
      <c r="I87" s="18">
        <v>44958</v>
      </c>
      <c r="J87">
        <v>62</v>
      </c>
      <c r="K87">
        <v>3.1</v>
      </c>
      <c r="L87">
        <f>IF(MONTH(calls[[#This Row],[Date of Call]])&lt;=6, YEAR(calls[[#This Row],[Date of Call]]), YEAR(calls[[#This Row],[Date of Call]])+1)</f>
        <v>2023</v>
      </c>
      <c r="M87" t="str">
        <f>TEXT(calls[[#This Row],[Date of Call]],"DDDD")</f>
        <v>الأربعاء</v>
      </c>
      <c r="N87" t="str" cm="1">
        <f t="array" ref="N87">_xlfn.IFS(calls[[#This Row],[Duration]]&lt;=10,"Under 10 mins", calls[[#This Row],[Duration]]&lt;=30, "10 to 30 mins", calls[[#This Row],[Duration]]&lt;=60, "30 to 60 mins", calls[[#This Row],[Duration]]&lt;=120, "1 to 2 hours", TRUE, "More than 2 hours")</f>
        <v>1 to 2 hours</v>
      </c>
      <c r="O87">
        <f>ROUND(calls[[#This Row],[Satisfaction Rating]],0)</f>
        <v>3</v>
      </c>
    </row>
    <row r="88" spans="2:15" x14ac:dyDescent="0.25">
      <c r="B88" t="s">
        <v>109</v>
      </c>
      <c r="C88" t="s">
        <v>7</v>
      </c>
      <c r="D88">
        <f>VLOOKUP(C88,customers[],3,0)</f>
        <v>30</v>
      </c>
      <c r="E88" t="str">
        <f>VLOOKUP(C88,customers[],2,0)</f>
        <v>Female</v>
      </c>
      <c r="F88" t="str">
        <f>VLOOKUP(C88,customers[],4,0)</f>
        <v>Cincinnati</v>
      </c>
      <c r="G88">
        <v>137</v>
      </c>
      <c r="H88" s="17" t="s">
        <v>12</v>
      </c>
      <c r="I88" s="18">
        <v>44958</v>
      </c>
      <c r="J88">
        <v>90</v>
      </c>
      <c r="K88">
        <v>4.0999999999999996</v>
      </c>
      <c r="L88">
        <f>IF(MONTH(calls[[#This Row],[Date of Call]])&lt;=6, YEAR(calls[[#This Row],[Date of Call]]), YEAR(calls[[#This Row],[Date of Call]])+1)</f>
        <v>2023</v>
      </c>
      <c r="M88" t="str">
        <f>TEXT(calls[[#This Row],[Date of Call]],"DDDD")</f>
        <v>الأربعاء</v>
      </c>
      <c r="N88" t="str" cm="1">
        <f t="array" ref="N88">_xlfn.IFS(calls[[#This Row],[Duration]]&lt;=10,"Under 10 mins", calls[[#This Row],[Duration]]&lt;=30, "10 to 30 mins", calls[[#This Row],[Duration]]&lt;=60, "30 to 60 mins", calls[[#This Row],[Duration]]&lt;=120, "1 to 2 hours", TRUE, "More than 2 hours")</f>
        <v>More than 2 hours</v>
      </c>
      <c r="O88">
        <f>ROUND(calls[[#This Row],[Satisfaction Rating]],0)</f>
        <v>4</v>
      </c>
    </row>
    <row r="89" spans="2:15" x14ac:dyDescent="0.25">
      <c r="B89" t="s">
        <v>110</v>
      </c>
      <c r="C89" t="s">
        <v>20</v>
      </c>
      <c r="D89">
        <f>VLOOKUP(C89,customers[],3,0)</f>
        <v>38</v>
      </c>
      <c r="E89" t="str">
        <f>VLOOKUP(C89,customers[],2,0)</f>
        <v>Female</v>
      </c>
      <c r="F89" t="str">
        <f>VLOOKUP(C89,customers[],4,0)</f>
        <v>Columbus</v>
      </c>
      <c r="G89">
        <v>99</v>
      </c>
      <c r="H89" s="17" t="s">
        <v>9</v>
      </c>
      <c r="I89" s="18">
        <v>44959</v>
      </c>
      <c r="J89">
        <v>112</v>
      </c>
      <c r="K89">
        <v>4.9000000000000004</v>
      </c>
      <c r="L89">
        <f>IF(MONTH(calls[[#This Row],[Date of Call]])&lt;=6, YEAR(calls[[#This Row],[Date of Call]]), YEAR(calls[[#This Row],[Date of Call]])+1)</f>
        <v>2023</v>
      </c>
      <c r="M89" t="str">
        <f>TEXT(calls[[#This Row],[Date of Call]],"DDDD")</f>
        <v>الخميس</v>
      </c>
      <c r="N89" t="str" cm="1">
        <f t="array" ref="N89">_xlfn.IFS(calls[[#This Row],[Duration]]&lt;=10,"Under 10 mins", calls[[#This Row],[Duration]]&lt;=30, "10 to 30 mins", calls[[#This Row],[Duration]]&lt;=60, "30 to 60 mins", calls[[#This Row],[Duration]]&lt;=120, "1 to 2 hours", TRUE, "More than 2 hours")</f>
        <v>1 to 2 hours</v>
      </c>
      <c r="O89">
        <f>ROUND(calls[[#This Row],[Satisfaction Rating]],0)</f>
        <v>5</v>
      </c>
    </row>
    <row r="90" spans="2:15" x14ac:dyDescent="0.25">
      <c r="B90" t="s">
        <v>111</v>
      </c>
      <c r="C90" t="s">
        <v>18</v>
      </c>
      <c r="D90">
        <f>VLOOKUP(C90,customers[],3,0)</f>
        <v>43</v>
      </c>
      <c r="E90" t="str">
        <f>VLOOKUP(C90,customers[],2,0)</f>
        <v>Female</v>
      </c>
      <c r="F90" t="str">
        <f>VLOOKUP(C90,customers[],4,0)</f>
        <v>Cleveland</v>
      </c>
      <c r="G90">
        <v>100</v>
      </c>
      <c r="H90" s="17" t="s">
        <v>9</v>
      </c>
      <c r="I90" s="18">
        <v>44959</v>
      </c>
      <c r="J90">
        <v>135</v>
      </c>
      <c r="K90">
        <v>4</v>
      </c>
      <c r="L90">
        <f>IF(MONTH(calls[[#This Row],[Date of Call]])&lt;=6, YEAR(calls[[#This Row],[Date of Call]]), YEAR(calls[[#This Row],[Date of Call]])+1)</f>
        <v>2023</v>
      </c>
      <c r="M90" t="str">
        <f>TEXT(calls[[#This Row],[Date of Call]],"DDDD")</f>
        <v>الخميس</v>
      </c>
      <c r="N90" t="str" cm="1">
        <f t="array" ref="N90">_xlfn.IFS(calls[[#This Row],[Duration]]&lt;=10,"Under 10 mins", calls[[#This Row],[Duration]]&lt;=30, "10 to 30 mins", calls[[#This Row],[Duration]]&lt;=60, "30 to 60 mins", calls[[#This Row],[Duration]]&lt;=120, "1 to 2 hours", TRUE, "More than 2 hours")</f>
        <v>1 to 2 hours</v>
      </c>
      <c r="O90">
        <f>ROUND(calls[[#This Row],[Satisfaction Rating]],0)</f>
        <v>4</v>
      </c>
    </row>
    <row r="91" spans="2:15" x14ac:dyDescent="0.25">
      <c r="B91" t="s">
        <v>112</v>
      </c>
      <c r="C91" t="s">
        <v>11</v>
      </c>
      <c r="D91">
        <f>VLOOKUP(C91,customers[],3,0)</f>
        <v>36</v>
      </c>
      <c r="E91" t="str">
        <f>VLOOKUP(C91,customers[],2,0)</f>
        <v>Male</v>
      </c>
      <c r="F91" t="str">
        <f>VLOOKUP(C91,customers[],4,0)</f>
        <v>Cincinnati</v>
      </c>
      <c r="G91">
        <v>47</v>
      </c>
      <c r="H91" s="17" t="s">
        <v>8</v>
      </c>
      <c r="I91" s="18">
        <v>44959</v>
      </c>
      <c r="J91">
        <v>34</v>
      </c>
      <c r="K91">
        <v>2.1</v>
      </c>
      <c r="L91">
        <f>IF(MONTH(calls[[#This Row],[Date of Call]])&lt;=6, YEAR(calls[[#This Row],[Date of Call]]), YEAR(calls[[#This Row],[Date of Call]])+1)</f>
        <v>2023</v>
      </c>
      <c r="M91" t="str">
        <f>TEXT(calls[[#This Row],[Date of Call]],"DDDD")</f>
        <v>الخميس</v>
      </c>
      <c r="N91" t="str" cm="1">
        <f t="array" ref="N91">_xlfn.IFS(calls[[#This Row],[Duration]]&lt;=10,"Under 10 mins", calls[[#This Row],[Duration]]&lt;=30, "10 to 30 mins", calls[[#This Row],[Duration]]&lt;=60, "30 to 60 mins", calls[[#This Row],[Duration]]&lt;=120, "1 to 2 hours", TRUE, "More than 2 hours")</f>
        <v>30 to 60 mins</v>
      </c>
      <c r="O91">
        <f>ROUND(calls[[#This Row],[Satisfaction Rating]],0)</f>
        <v>2</v>
      </c>
    </row>
    <row r="92" spans="2:15" x14ac:dyDescent="0.25">
      <c r="B92" t="s">
        <v>113</v>
      </c>
      <c r="C92" t="s">
        <v>4</v>
      </c>
      <c r="D92">
        <f>VLOOKUP(C92,customers[],3,0)</f>
        <v>42</v>
      </c>
      <c r="E92" t="str">
        <f>VLOOKUP(C92,customers[],2,0)</f>
        <v>Female</v>
      </c>
      <c r="F92" t="str">
        <f>VLOOKUP(C92,customers[],4,0)</f>
        <v>Cleveland</v>
      </c>
      <c r="G92">
        <v>87</v>
      </c>
      <c r="H92" s="17" t="s">
        <v>10</v>
      </c>
      <c r="I92" s="18">
        <v>44959</v>
      </c>
      <c r="J92">
        <v>155</v>
      </c>
      <c r="K92">
        <v>4.5</v>
      </c>
      <c r="L92">
        <f>IF(MONTH(calls[[#This Row],[Date of Call]])&lt;=6, YEAR(calls[[#This Row],[Date of Call]]), YEAR(calls[[#This Row],[Date of Call]])+1)</f>
        <v>2023</v>
      </c>
      <c r="M92" t="str">
        <f>TEXT(calls[[#This Row],[Date of Call]],"DDDD")</f>
        <v>الخميس</v>
      </c>
      <c r="N92" t="str" cm="1">
        <f t="array" ref="N92">_xlfn.IFS(calls[[#This Row],[Duration]]&lt;=10,"Under 10 mins", calls[[#This Row],[Duration]]&lt;=30, "10 to 30 mins", calls[[#This Row],[Duration]]&lt;=60, "30 to 60 mins", calls[[#This Row],[Duration]]&lt;=120, "1 to 2 hours", TRUE, "More than 2 hours")</f>
        <v>1 to 2 hours</v>
      </c>
      <c r="O92">
        <f>ROUND(calls[[#This Row],[Satisfaction Rating]],0)</f>
        <v>5</v>
      </c>
    </row>
    <row r="93" spans="2:15" x14ac:dyDescent="0.25">
      <c r="B93" t="s">
        <v>114</v>
      </c>
      <c r="C93" t="s">
        <v>20</v>
      </c>
      <c r="D93">
        <f>VLOOKUP(C93,customers[],3,0)</f>
        <v>38</v>
      </c>
      <c r="E93" t="str">
        <f>VLOOKUP(C93,customers[],2,0)</f>
        <v>Female</v>
      </c>
      <c r="F93" t="str">
        <f>VLOOKUP(C93,customers[],4,0)</f>
        <v>Columbus</v>
      </c>
      <c r="G93">
        <v>143</v>
      </c>
      <c r="H93" s="17" t="s">
        <v>10</v>
      </c>
      <c r="I93" s="18">
        <v>44961</v>
      </c>
      <c r="J93">
        <v>124</v>
      </c>
      <c r="K93">
        <v>4.9000000000000004</v>
      </c>
      <c r="L93">
        <f>IF(MONTH(calls[[#This Row],[Date of Call]])&lt;=6, YEAR(calls[[#This Row],[Date of Call]]), YEAR(calls[[#This Row],[Date of Call]])+1)</f>
        <v>2023</v>
      </c>
      <c r="M93" t="str">
        <f>TEXT(calls[[#This Row],[Date of Call]],"DDDD")</f>
        <v>السبت</v>
      </c>
      <c r="N93" t="str" cm="1">
        <f t="array" ref="N93">_xlfn.IFS(calls[[#This Row],[Duration]]&lt;=10,"Under 10 mins", calls[[#This Row],[Duration]]&lt;=30, "10 to 30 mins", calls[[#This Row],[Duration]]&lt;=60, "30 to 60 mins", calls[[#This Row],[Duration]]&lt;=120, "1 to 2 hours", TRUE, "More than 2 hours")</f>
        <v>More than 2 hours</v>
      </c>
      <c r="O93">
        <f>ROUND(calls[[#This Row],[Satisfaction Rating]],0)</f>
        <v>5</v>
      </c>
    </row>
    <row r="94" spans="2:15" x14ac:dyDescent="0.25">
      <c r="B94" t="s">
        <v>115</v>
      </c>
      <c r="C94" t="s">
        <v>18</v>
      </c>
      <c r="D94">
        <f>VLOOKUP(C94,customers[],3,0)</f>
        <v>43</v>
      </c>
      <c r="E94" t="str">
        <f>VLOOKUP(C94,customers[],2,0)</f>
        <v>Female</v>
      </c>
      <c r="F94" t="str">
        <f>VLOOKUP(C94,customers[],4,0)</f>
        <v>Cleveland</v>
      </c>
      <c r="G94">
        <v>84</v>
      </c>
      <c r="H94" s="17" t="s">
        <v>9</v>
      </c>
      <c r="I94" s="18">
        <v>44961</v>
      </c>
      <c r="J94">
        <v>195</v>
      </c>
      <c r="K94">
        <v>4.0999999999999996</v>
      </c>
      <c r="L94">
        <f>IF(MONTH(calls[[#This Row],[Date of Call]])&lt;=6, YEAR(calls[[#This Row],[Date of Call]]), YEAR(calls[[#This Row],[Date of Call]])+1)</f>
        <v>2023</v>
      </c>
      <c r="M94" t="str">
        <f>TEXT(calls[[#This Row],[Date of Call]],"DDDD")</f>
        <v>السبت</v>
      </c>
      <c r="N94" t="str" cm="1">
        <f t="array" ref="N94">_xlfn.IFS(calls[[#This Row],[Duration]]&lt;=10,"Under 10 mins", calls[[#This Row],[Duration]]&lt;=30, "10 to 30 mins", calls[[#This Row],[Duration]]&lt;=60, "30 to 60 mins", calls[[#This Row],[Duration]]&lt;=120, "1 to 2 hours", TRUE, "More than 2 hours")</f>
        <v>1 to 2 hours</v>
      </c>
      <c r="O94">
        <f>ROUND(calls[[#This Row],[Satisfaction Rating]],0)</f>
        <v>4</v>
      </c>
    </row>
    <row r="95" spans="2:15" x14ac:dyDescent="0.25">
      <c r="B95" t="s">
        <v>116</v>
      </c>
      <c r="C95" t="s">
        <v>16</v>
      </c>
      <c r="D95">
        <f>VLOOKUP(C95,customers[],3,0)</f>
        <v>41</v>
      </c>
      <c r="E95" t="str">
        <f>VLOOKUP(C95,customers[],2,0)</f>
        <v>Male</v>
      </c>
      <c r="F95" t="str">
        <f>VLOOKUP(C95,customers[],4,0)</f>
        <v>Columbus</v>
      </c>
      <c r="G95">
        <v>55</v>
      </c>
      <c r="H95" s="17" t="s">
        <v>10</v>
      </c>
      <c r="I95" s="18">
        <v>44962</v>
      </c>
      <c r="J95">
        <v>78</v>
      </c>
      <c r="K95">
        <v>4.5</v>
      </c>
      <c r="L95">
        <f>IF(MONTH(calls[[#This Row],[Date of Call]])&lt;=6, YEAR(calls[[#This Row],[Date of Call]]), YEAR(calls[[#This Row],[Date of Call]])+1)</f>
        <v>2023</v>
      </c>
      <c r="M95" t="str">
        <f>TEXT(calls[[#This Row],[Date of Call]],"DDDD")</f>
        <v>الأحد</v>
      </c>
      <c r="N95" t="str" cm="1">
        <f t="array" ref="N95">_xlfn.IFS(calls[[#This Row],[Duration]]&lt;=10,"Under 10 mins", calls[[#This Row],[Duration]]&lt;=30, "10 to 30 mins", calls[[#This Row],[Duration]]&lt;=60, "30 to 60 mins", calls[[#This Row],[Duration]]&lt;=120, "1 to 2 hours", TRUE, "More than 2 hours")</f>
        <v>30 to 60 mins</v>
      </c>
      <c r="O95">
        <f>ROUND(calls[[#This Row],[Satisfaction Rating]],0)</f>
        <v>5</v>
      </c>
    </row>
    <row r="96" spans="2:15" x14ac:dyDescent="0.25">
      <c r="B96" t="s">
        <v>117</v>
      </c>
      <c r="C96" t="s">
        <v>14</v>
      </c>
      <c r="D96">
        <f>VLOOKUP(C96,customers[],3,0)</f>
        <v>22</v>
      </c>
      <c r="E96" t="str">
        <f>VLOOKUP(C96,customers[],2,0)</f>
        <v>Female</v>
      </c>
      <c r="F96" t="str">
        <f>VLOOKUP(C96,customers[],4,0)</f>
        <v>Cleveland</v>
      </c>
      <c r="G96">
        <v>135</v>
      </c>
      <c r="H96" s="17" t="s">
        <v>12</v>
      </c>
      <c r="I96" s="18">
        <v>44964</v>
      </c>
      <c r="J96">
        <v>35</v>
      </c>
      <c r="K96">
        <v>4.8</v>
      </c>
      <c r="L96">
        <f>IF(MONTH(calls[[#This Row],[Date of Call]])&lt;=6, YEAR(calls[[#This Row],[Date of Call]]), YEAR(calls[[#This Row],[Date of Call]])+1)</f>
        <v>2023</v>
      </c>
      <c r="M96" t="str">
        <f>TEXT(calls[[#This Row],[Date of Call]],"DDDD")</f>
        <v>الثلاثاء</v>
      </c>
      <c r="N96" t="str" cm="1">
        <f t="array" ref="N96">_xlfn.IFS(calls[[#This Row],[Duration]]&lt;=10,"Under 10 mins", calls[[#This Row],[Duration]]&lt;=30, "10 to 30 mins", calls[[#This Row],[Duration]]&lt;=60, "30 to 60 mins", calls[[#This Row],[Duration]]&lt;=120, "1 to 2 hours", TRUE, "More than 2 hours")</f>
        <v>More than 2 hours</v>
      </c>
      <c r="O96">
        <f>ROUND(calls[[#This Row],[Satisfaction Rating]],0)</f>
        <v>5</v>
      </c>
    </row>
    <row r="97" spans="2:15" x14ac:dyDescent="0.25">
      <c r="B97" t="s">
        <v>118</v>
      </c>
      <c r="C97" t="s">
        <v>15</v>
      </c>
      <c r="D97">
        <f>VLOOKUP(C97,customers[],3,0)</f>
        <v>28</v>
      </c>
      <c r="E97" t="str">
        <f>VLOOKUP(C97,customers[],2,0)</f>
        <v>Female</v>
      </c>
      <c r="F97" t="str">
        <f>VLOOKUP(C97,customers[],4,0)</f>
        <v>Cincinnati</v>
      </c>
      <c r="G97">
        <v>152</v>
      </c>
      <c r="H97" s="17" t="s">
        <v>8</v>
      </c>
      <c r="I97" s="18">
        <v>44964</v>
      </c>
      <c r="J97">
        <v>123</v>
      </c>
      <c r="K97">
        <v>4.5999999999999996</v>
      </c>
      <c r="L97">
        <f>IF(MONTH(calls[[#This Row],[Date of Call]])&lt;=6, YEAR(calls[[#This Row],[Date of Call]]), YEAR(calls[[#This Row],[Date of Call]])+1)</f>
        <v>2023</v>
      </c>
      <c r="M97" t="str">
        <f>TEXT(calls[[#This Row],[Date of Call]],"DDDD")</f>
        <v>الثلاثاء</v>
      </c>
      <c r="N97" t="str" cm="1">
        <f t="array" ref="N97">_xlfn.IFS(calls[[#This Row],[Duration]]&lt;=10,"Under 10 mins", calls[[#This Row],[Duration]]&lt;=30, "10 to 30 mins", calls[[#This Row],[Duration]]&lt;=60, "30 to 60 mins", calls[[#This Row],[Duration]]&lt;=120, "1 to 2 hours", TRUE, "More than 2 hours")</f>
        <v>More than 2 hours</v>
      </c>
      <c r="O97">
        <f>ROUND(calls[[#This Row],[Satisfaction Rating]],0)</f>
        <v>5</v>
      </c>
    </row>
    <row r="98" spans="2:15" x14ac:dyDescent="0.25">
      <c r="B98" t="s">
        <v>119</v>
      </c>
      <c r="C98" t="s">
        <v>22</v>
      </c>
      <c r="D98">
        <f>VLOOKUP(C98,customers[],3,0)</f>
        <v>37</v>
      </c>
      <c r="E98" t="str">
        <f>VLOOKUP(C98,customers[],2,0)</f>
        <v>Male</v>
      </c>
      <c r="F98" t="str">
        <f>VLOOKUP(C98,customers[],4,0)</f>
        <v>Columbus</v>
      </c>
      <c r="G98">
        <v>132</v>
      </c>
      <c r="H98" s="17" t="s">
        <v>8</v>
      </c>
      <c r="I98" s="18">
        <v>44964</v>
      </c>
      <c r="J98">
        <v>43</v>
      </c>
      <c r="K98">
        <v>4.5999999999999996</v>
      </c>
      <c r="L98">
        <f>IF(MONTH(calls[[#This Row],[Date of Call]])&lt;=6, YEAR(calls[[#This Row],[Date of Call]]), YEAR(calls[[#This Row],[Date of Call]])+1)</f>
        <v>2023</v>
      </c>
      <c r="M98" t="str">
        <f>TEXT(calls[[#This Row],[Date of Call]],"DDDD")</f>
        <v>الثلاثاء</v>
      </c>
      <c r="N98" t="str" cm="1">
        <f t="array" ref="N98">_xlfn.IFS(calls[[#This Row],[Duration]]&lt;=10,"Under 10 mins", calls[[#This Row],[Duration]]&lt;=30, "10 to 30 mins", calls[[#This Row],[Duration]]&lt;=60, "30 to 60 mins", calls[[#This Row],[Duration]]&lt;=120, "1 to 2 hours", TRUE, "More than 2 hours")</f>
        <v>More than 2 hours</v>
      </c>
      <c r="O98">
        <f>ROUND(calls[[#This Row],[Satisfaction Rating]],0)</f>
        <v>5</v>
      </c>
    </row>
    <row r="99" spans="2:15" x14ac:dyDescent="0.25">
      <c r="B99" t="s">
        <v>120</v>
      </c>
      <c r="C99" t="s">
        <v>6</v>
      </c>
      <c r="D99">
        <f>VLOOKUP(C99,customers[],3,0)</f>
        <v>23</v>
      </c>
      <c r="E99" t="str">
        <f>VLOOKUP(C99,customers[],2,0)</f>
        <v>Male</v>
      </c>
      <c r="F99" t="str">
        <f>VLOOKUP(C99,customers[],4,0)</f>
        <v>Columbus</v>
      </c>
      <c r="G99">
        <v>60</v>
      </c>
      <c r="H99" s="17" t="s">
        <v>9</v>
      </c>
      <c r="I99" s="18">
        <v>44965</v>
      </c>
      <c r="J99">
        <v>69</v>
      </c>
      <c r="K99">
        <v>4.3</v>
      </c>
      <c r="L99">
        <f>IF(MONTH(calls[[#This Row],[Date of Call]])&lt;=6, YEAR(calls[[#This Row],[Date of Call]]), YEAR(calls[[#This Row],[Date of Call]])+1)</f>
        <v>2023</v>
      </c>
      <c r="M99" t="str">
        <f>TEXT(calls[[#This Row],[Date of Call]],"DDDD")</f>
        <v>الأربعاء</v>
      </c>
      <c r="N99" t="str" cm="1">
        <f t="array" ref="N99">_xlfn.IFS(calls[[#This Row],[Duration]]&lt;=10,"Under 10 mins", calls[[#This Row],[Duration]]&lt;=30, "10 to 30 mins", calls[[#This Row],[Duration]]&lt;=60, "30 to 60 mins", calls[[#This Row],[Duration]]&lt;=120, "1 to 2 hours", TRUE, "More than 2 hours")</f>
        <v>30 to 60 mins</v>
      </c>
      <c r="O99">
        <f>ROUND(calls[[#This Row],[Satisfaction Rating]],0)</f>
        <v>4</v>
      </c>
    </row>
    <row r="100" spans="2:15" x14ac:dyDescent="0.25">
      <c r="B100" t="s">
        <v>121</v>
      </c>
      <c r="C100" t="s">
        <v>15</v>
      </c>
      <c r="D100">
        <f>VLOOKUP(C100,customers[],3,0)</f>
        <v>28</v>
      </c>
      <c r="E100" t="str">
        <f>VLOOKUP(C100,customers[],2,0)</f>
        <v>Female</v>
      </c>
      <c r="F100" t="str">
        <f>VLOOKUP(C100,customers[],4,0)</f>
        <v>Cincinnati</v>
      </c>
      <c r="G100">
        <v>95</v>
      </c>
      <c r="H100" s="17" t="s">
        <v>8</v>
      </c>
      <c r="I100" s="18">
        <v>44965</v>
      </c>
      <c r="J100">
        <v>130</v>
      </c>
      <c r="K100">
        <v>5</v>
      </c>
      <c r="L100">
        <f>IF(MONTH(calls[[#This Row],[Date of Call]])&lt;=6, YEAR(calls[[#This Row],[Date of Call]]), YEAR(calls[[#This Row],[Date of Call]])+1)</f>
        <v>2023</v>
      </c>
      <c r="M100" t="str">
        <f>TEXT(calls[[#This Row],[Date of Call]],"DDDD")</f>
        <v>الأربعاء</v>
      </c>
      <c r="N100" t="str" cm="1">
        <f t="array" ref="N100">_xlfn.IFS(calls[[#This Row],[Duration]]&lt;=10,"Under 10 mins", calls[[#This Row],[Duration]]&lt;=30, "10 to 30 mins", calls[[#This Row],[Duration]]&lt;=60, "30 to 60 mins", calls[[#This Row],[Duration]]&lt;=120, "1 to 2 hours", TRUE, "More than 2 hours")</f>
        <v>1 to 2 hours</v>
      </c>
      <c r="O100">
        <f>ROUND(calls[[#This Row],[Satisfaction Rating]],0)</f>
        <v>5</v>
      </c>
    </row>
    <row r="101" spans="2:15" x14ac:dyDescent="0.25">
      <c r="B101" t="s">
        <v>122</v>
      </c>
      <c r="C101" t="s">
        <v>19</v>
      </c>
      <c r="D101">
        <f>VLOOKUP(C101,customers[],3,0)</f>
        <v>26</v>
      </c>
      <c r="E101" t="str">
        <f>VLOOKUP(C101,customers[],2,0)</f>
        <v>Male</v>
      </c>
      <c r="F101" t="str">
        <f>VLOOKUP(C101,customers[],4,0)</f>
        <v>Cincinnati</v>
      </c>
      <c r="G101">
        <v>96</v>
      </c>
      <c r="H101" s="17" t="s">
        <v>5</v>
      </c>
      <c r="I101" s="18">
        <v>44965</v>
      </c>
      <c r="J101">
        <v>120</v>
      </c>
      <c r="K101">
        <v>4</v>
      </c>
      <c r="L101">
        <f>IF(MONTH(calls[[#This Row],[Date of Call]])&lt;=6, YEAR(calls[[#This Row],[Date of Call]]), YEAR(calls[[#This Row],[Date of Call]])+1)</f>
        <v>2023</v>
      </c>
      <c r="M101" t="str">
        <f>TEXT(calls[[#This Row],[Date of Call]],"DDDD")</f>
        <v>الأربعاء</v>
      </c>
      <c r="N101" t="str" cm="1">
        <f t="array" ref="N101">_xlfn.IFS(calls[[#This Row],[Duration]]&lt;=10,"Under 10 mins", calls[[#This Row],[Duration]]&lt;=30, "10 to 30 mins", calls[[#This Row],[Duration]]&lt;=60, "30 to 60 mins", calls[[#This Row],[Duration]]&lt;=120, "1 to 2 hours", TRUE, "More than 2 hours")</f>
        <v>1 to 2 hours</v>
      </c>
      <c r="O101">
        <f>ROUND(calls[[#This Row],[Satisfaction Rating]],0)</f>
        <v>4</v>
      </c>
    </row>
    <row r="102" spans="2:15" x14ac:dyDescent="0.25">
      <c r="B102" t="s">
        <v>123</v>
      </c>
      <c r="C102" t="s">
        <v>16</v>
      </c>
      <c r="D102">
        <f>VLOOKUP(C102,customers[],3,0)</f>
        <v>41</v>
      </c>
      <c r="E102" t="str">
        <f>VLOOKUP(C102,customers[],2,0)</f>
        <v>Male</v>
      </c>
      <c r="F102" t="str">
        <f>VLOOKUP(C102,customers[],4,0)</f>
        <v>Columbus</v>
      </c>
      <c r="G102">
        <v>45</v>
      </c>
      <c r="H102" s="17" t="s">
        <v>9</v>
      </c>
      <c r="I102" s="18">
        <v>44966</v>
      </c>
      <c r="J102">
        <v>84</v>
      </c>
      <c r="K102">
        <v>4.5999999999999996</v>
      </c>
      <c r="L102">
        <f>IF(MONTH(calls[[#This Row],[Date of Call]])&lt;=6, YEAR(calls[[#This Row],[Date of Call]]), YEAR(calls[[#This Row],[Date of Call]])+1)</f>
        <v>2023</v>
      </c>
      <c r="M102" t="str">
        <f>TEXT(calls[[#This Row],[Date of Call]],"DDDD")</f>
        <v>الخميس</v>
      </c>
      <c r="N102" t="str" cm="1">
        <f t="array" ref="N102">_xlfn.IFS(calls[[#This Row],[Duration]]&lt;=10,"Under 10 mins", calls[[#This Row],[Duration]]&lt;=30, "10 to 30 mins", calls[[#This Row],[Duration]]&lt;=60, "30 to 60 mins", calls[[#This Row],[Duration]]&lt;=120, "1 to 2 hours", TRUE, "More than 2 hours")</f>
        <v>30 to 60 mins</v>
      </c>
      <c r="O102">
        <f>ROUND(calls[[#This Row],[Satisfaction Rating]],0)</f>
        <v>5</v>
      </c>
    </row>
    <row r="103" spans="2:15" x14ac:dyDescent="0.25">
      <c r="B103" t="s">
        <v>124</v>
      </c>
      <c r="C103" t="s">
        <v>19</v>
      </c>
      <c r="D103">
        <f>VLOOKUP(C103,customers[],3,0)</f>
        <v>26</v>
      </c>
      <c r="E103" t="str">
        <f>VLOOKUP(C103,customers[],2,0)</f>
        <v>Male</v>
      </c>
      <c r="F103" t="str">
        <f>VLOOKUP(C103,customers[],4,0)</f>
        <v>Cincinnati</v>
      </c>
      <c r="G103">
        <v>132</v>
      </c>
      <c r="H103" s="17" t="s">
        <v>5</v>
      </c>
      <c r="I103" s="18">
        <v>44967</v>
      </c>
      <c r="J103">
        <v>112</v>
      </c>
      <c r="K103">
        <v>4.5</v>
      </c>
      <c r="L103">
        <f>IF(MONTH(calls[[#This Row],[Date of Call]])&lt;=6, YEAR(calls[[#This Row],[Date of Call]]), YEAR(calls[[#This Row],[Date of Call]])+1)</f>
        <v>2023</v>
      </c>
      <c r="M103" t="str">
        <f>TEXT(calls[[#This Row],[Date of Call]],"DDDD")</f>
        <v>الجمعة</v>
      </c>
      <c r="N103" t="str" cm="1">
        <f t="array" ref="N103">_xlfn.IFS(calls[[#This Row],[Duration]]&lt;=10,"Under 10 mins", calls[[#This Row],[Duration]]&lt;=30, "10 to 30 mins", calls[[#This Row],[Duration]]&lt;=60, "30 to 60 mins", calls[[#This Row],[Duration]]&lt;=120, "1 to 2 hours", TRUE, "More than 2 hours")</f>
        <v>More than 2 hours</v>
      </c>
      <c r="O103">
        <f>ROUND(calls[[#This Row],[Satisfaction Rating]],0)</f>
        <v>5</v>
      </c>
    </row>
    <row r="104" spans="2:15" x14ac:dyDescent="0.25">
      <c r="B104" t="s">
        <v>125</v>
      </c>
      <c r="C104" t="s">
        <v>13</v>
      </c>
      <c r="D104">
        <f>VLOOKUP(C104,customers[],3,0)</f>
        <v>37</v>
      </c>
      <c r="E104" t="str">
        <f>VLOOKUP(C104,customers[],2,0)</f>
        <v>Female</v>
      </c>
      <c r="F104" t="str">
        <f>VLOOKUP(C104,customers[],4,0)</f>
        <v>Cleveland</v>
      </c>
      <c r="G104">
        <v>95</v>
      </c>
      <c r="H104" s="17" t="s">
        <v>9</v>
      </c>
      <c r="I104" s="18">
        <v>44967</v>
      </c>
      <c r="J104">
        <v>66</v>
      </c>
      <c r="K104">
        <v>4.5999999999999996</v>
      </c>
      <c r="L104">
        <f>IF(MONTH(calls[[#This Row],[Date of Call]])&lt;=6, YEAR(calls[[#This Row],[Date of Call]]), YEAR(calls[[#This Row],[Date of Call]])+1)</f>
        <v>2023</v>
      </c>
      <c r="M104" t="str">
        <f>TEXT(calls[[#This Row],[Date of Call]],"DDDD")</f>
        <v>الجمعة</v>
      </c>
      <c r="N104" t="str" cm="1">
        <f t="array" ref="N104">_xlfn.IFS(calls[[#This Row],[Duration]]&lt;=10,"Under 10 mins", calls[[#This Row],[Duration]]&lt;=30, "10 to 30 mins", calls[[#This Row],[Duration]]&lt;=60, "30 to 60 mins", calls[[#This Row],[Duration]]&lt;=120, "1 to 2 hours", TRUE, "More than 2 hours")</f>
        <v>1 to 2 hours</v>
      </c>
      <c r="O104">
        <f>ROUND(calls[[#This Row],[Satisfaction Rating]],0)</f>
        <v>5</v>
      </c>
    </row>
    <row r="105" spans="2:15" x14ac:dyDescent="0.25">
      <c r="B105" t="s">
        <v>126</v>
      </c>
      <c r="C105" t="s">
        <v>15</v>
      </c>
      <c r="D105">
        <f>VLOOKUP(C105,customers[],3,0)</f>
        <v>28</v>
      </c>
      <c r="E105" t="str">
        <f>VLOOKUP(C105,customers[],2,0)</f>
        <v>Female</v>
      </c>
      <c r="F105" t="str">
        <f>VLOOKUP(C105,customers[],4,0)</f>
        <v>Cincinnati</v>
      </c>
      <c r="G105">
        <v>131</v>
      </c>
      <c r="H105" s="17" t="s">
        <v>10</v>
      </c>
      <c r="I105" s="18">
        <v>44967</v>
      </c>
      <c r="J105">
        <v>172</v>
      </c>
      <c r="K105">
        <v>2.6</v>
      </c>
      <c r="L105">
        <f>IF(MONTH(calls[[#This Row],[Date of Call]])&lt;=6, YEAR(calls[[#This Row],[Date of Call]]), YEAR(calls[[#This Row],[Date of Call]])+1)</f>
        <v>2023</v>
      </c>
      <c r="M105" t="str">
        <f>TEXT(calls[[#This Row],[Date of Call]],"DDDD")</f>
        <v>الجمعة</v>
      </c>
      <c r="N105" t="str" cm="1">
        <f t="array" ref="N105">_xlfn.IFS(calls[[#This Row],[Duration]]&lt;=10,"Under 10 mins", calls[[#This Row],[Duration]]&lt;=30, "10 to 30 mins", calls[[#This Row],[Duration]]&lt;=60, "30 to 60 mins", calls[[#This Row],[Duration]]&lt;=120, "1 to 2 hours", TRUE, "More than 2 hours")</f>
        <v>More than 2 hours</v>
      </c>
      <c r="O105">
        <f>ROUND(calls[[#This Row],[Satisfaction Rating]],0)</f>
        <v>3</v>
      </c>
    </row>
    <row r="106" spans="2:15" x14ac:dyDescent="0.25">
      <c r="B106" t="s">
        <v>127</v>
      </c>
      <c r="C106" t="s">
        <v>21</v>
      </c>
      <c r="D106">
        <f>VLOOKUP(C106,customers[],3,0)</f>
        <v>25</v>
      </c>
      <c r="E106" t="str">
        <f>VLOOKUP(C106,customers[],2,0)</f>
        <v>Female</v>
      </c>
      <c r="F106" t="str">
        <f>VLOOKUP(C106,customers[],4,0)</f>
        <v>Columbus</v>
      </c>
      <c r="G106">
        <v>67</v>
      </c>
      <c r="H106" s="17" t="s">
        <v>12</v>
      </c>
      <c r="I106" s="18">
        <v>44968</v>
      </c>
      <c r="J106">
        <v>24</v>
      </c>
      <c r="K106">
        <v>4.3</v>
      </c>
      <c r="L106">
        <f>IF(MONTH(calls[[#This Row],[Date of Call]])&lt;=6, YEAR(calls[[#This Row],[Date of Call]]), YEAR(calls[[#This Row],[Date of Call]])+1)</f>
        <v>2023</v>
      </c>
      <c r="M106" t="str">
        <f>TEXT(calls[[#This Row],[Date of Call]],"DDDD")</f>
        <v>السبت</v>
      </c>
      <c r="N106" t="str" cm="1">
        <f t="array" ref="N106">_xlfn.IFS(calls[[#This Row],[Duration]]&lt;=10,"Under 10 mins", calls[[#This Row],[Duration]]&lt;=30, "10 to 30 mins", calls[[#This Row],[Duration]]&lt;=60, "30 to 60 mins", calls[[#This Row],[Duration]]&lt;=120, "1 to 2 hours", TRUE, "More than 2 hours")</f>
        <v>1 to 2 hours</v>
      </c>
      <c r="O106">
        <f>ROUND(calls[[#This Row],[Satisfaction Rating]],0)</f>
        <v>4</v>
      </c>
    </row>
    <row r="107" spans="2:15" x14ac:dyDescent="0.25">
      <c r="B107" t="s">
        <v>128</v>
      </c>
      <c r="C107" t="s">
        <v>20</v>
      </c>
      <c r="D107">
        <f>VLOOKUP(C107,customers[],3,0)</f>
        <v>38</v>
      </c>
      <c r="E107" t="str">
        <f>VLOOKUP(C107,customers[],2,0)</f>
        <v>Female</v>
      </c>
      <c r="F107" t="str">
        <f>VLOOKUP(C107,customers[],4,0)</f>
        <v>Columbus</v>
      </c>
      <c r="G107">
        <v>111</v>
      </c>
      <c r="H107" s="17" t="s">
        <v>10</v>
      </c>
      <c r="I107" s="18">
        <v>44969</v>
      </c>
      <c r="J107">
        <v>43</v>
      </c>
      <c r="K107">
        <v>3.9</v>
      </c>
      <c r="L107">
        <f>IF(MONTH(calls[[#This Row],[Date of Call]])&lt;=6, YEAR(calls[[#This Row],[Date of Call]]), YEAR(calls[[#This Row],[Date of Call]])+1)</f>
        <v>2023</v>
      </c>
      <c r="M107" t="str">
        <f>TEXT(calls[[#This Row],[Date of Call]],"DDDD")</f>
        <v>الأحد</v>
      </c>
      <c r="N107" t="str" cm="1">
        <f t="array" ref="N107">_xlfn.IFS(calls[[#This Row],[Duration]]&lt;=10,"Under 10 mins", calls[[#This Row],[Duration]]&lt;=30, "10 to 30 mins", calls[[#This Row],[Duration]]&lt;=60, "30 to 60 mins", calls[[#This Row],[Duration]]&lt;=120, "1 to 2 hours", TRUE, "More than 2 hours")</f>
        <v>1 to 2 hours</v>
      </c>
      <c r="O107">
        <f>ROUND(calls[[#This Row],[Satisfaction Rating]],0)</f>
        <v>4</v>
      </c>
    </row>
    <row r="108" spans="2:15" x14ac:dyDescent="0.25">
      <c r="B108" t="s">
        <v>129</v>
      </c>
      <c r="C108" t="s">
        <v>22</v>
      </c>
      <c r="D108">
        <f>VLOOKUP(C108,customers[],3,0)</f>
        <v>37</v>
      </c>
      <c r="E108" t="str">
        <f>VLOOKUP(C108,customers[],2,0)</f>
        <v>Male</v>
      </c>
      <c r="F108" t="str">
        <f>VLOOKUP(C108,customers[],4,0)</f>
        <v>Columbus</v>
      </c>
      <c r="G108">
        <v>78</v>
      </c>
      <c r="H108" s="17" t="s">
        <v>8</v>
      </c>
      <c r="I108" s="18">
        <v>44969</v>
      </c>
      <c r="J108">
        <v>23</v>
      </c>
      <c r="K108">
        <v>5</v>
      </c>
      <c r="L108">
        <f>IF(MONTH(calls[[#This Row],[Date of Call]])&lt;=6, YEAR(calls[[#This Row],[Date of Call]]), YEAR(calls[[#This Row],[Date of Call]])+1)</f>
        <v>2023</v>
      </c>
      <c r="M108" t="str">
        <f>TEXT(calls[[#This Row],[Date of Call]],"DDDD")</f>
        <v>الأحد</v>
      </c>
      <c r="N108" t="str" cm="1">
        <f t="array" ref="N108">_xlfn.IFS(calls[[#This Row],[Duration]]&lt;=10,"Under 10 mins", calls[[#This Row],[Duration]]&lt;=30, "10 to 30 mins", calls[[#This Row],[Duration]]&lt;=60, "30 to 60 mins", calls[[#This Row],[Duration]]&lt;=120, "1 to 2 hours", TRUE, "More than 2 hours")</f>
        <v>1 to 2 hours</v>
      </c>
      <c r="O108">
        <f>ROUND(calls[[#This Row],[Satisfaction Rating]],0)</f>
        <v>5</v>
      </c>
    </row>
    <row r="109" spans="2:15" x14ac:dyDescent="0.25">
      <c r="B109" t="s">
        <v>130</v>
      </c>
      <c r="C109" t="s">
        <v>23</v>
      </c>
      <c r="D109">
        <f>VLOOKUP(C109,customers[],3,0)</f>
        <v>31</v>
      </c>
      <c r="E109" t="str">
        <f>VLOOKUP(C109,customers[],2,0)</f>
        <v>Male</v>
      </c>
      <c r="F109" t="str">
        <f>VLOOKUP(C109,customers[],4,0)</f>
        <v>Cleveland</v>
      </c>
      <c r="G109">
        <v>28</v>
      </c>
      <c r="H109" s="17" t="s">
        <v>5</v>
      </c>
      <c r="I109" s="18">
        <v>44969</v>
      </c>
      <c r="J109">
        <v>74</v>
      </c>
      <c r="K109">
        <v>3.5</v>
      </c>
      <c r="L109">
        <f>IF(MONTH(calls[[#This Row],[Date of Call]])&lt;=6, YEAR(calls[[#This Row],[Date of Call]]), YEAR(calls[[#This Row],[Date of Call]])+1)</f>
        <v>2023</v>
      </c>
      <c r="M109" t="str">
        <f>TEXT(calls[[#This Row],[Date of Call]],"DDDD")</f>
        <v>الأحد</v>
      </c>
      <c r="N109" t="str" cm="1">
        <f t="array" ref="N109">_xlfn.IFS(calls[[#This Row],[Duration]]&lt;=10,"Under 10 mins", calls[[#This Row],[Duration]]&lt;=30, "10 to 30 mins", calls[[#This Row],[Duration]]&lt;=60, "30 to 60 mins", calls[[#This Row],[Duration]]&lt;=120, "1 to 2 hours", TRUE, "More than 2 hours")</f>
        <v>10 to 30 mins</v>
      </c>
      <c r="O109">
        <f>ROUND(calls[[#This Row],[Satisfaction Rating]],0)</f>
        <v>4</v>
      </c>
    </row>
    <row r="110" spans="2:15" x14ac:dyDescent="0.25">
      <c r="B110" t="s">
        <v>131</v>
      </c>
      <c r="C110" t="s">
        <v>11</v>
      </c>
      <c r="D110">
        <f>VLOOKUP(C110,customers[],3,0)</f>
        <v>36</v>
      </c>
      <c r="E110" t="str">
        <f>VLOOKUP(C110,customers[],2,0)</f>
        <v>Male</v>
      </c>
      <c r="F110" t="str">
        <f>VLOOKUP(C110,customers[],4,0)</f>
        <v>Cincinnati</v>
      </c>
      <c r="G110">
        <v>127</v>
      </c>
      <c r="H110" s="17" t="s">
        <v>12</v>
      </c>
      <c r="I110" s="18">
        <v>44970</v>
      </c>
      <c r="J110">
        <v>165</v>
      </c>
      <c r="K110">
        <v>4.7</v>
      </c>
      <c r="L110">
        <f>IF(MONTH(calls[[#This Row],[Date of Call]])&lt;=6, YEAR(calls[[#This Row],[Date of Call]]), YEAR(calls[[#This Row],[Date of Call]])+1)</f>
        <v>2023</v>
      </c>
      <c r="M110" t="str">
        <f>TEXT(calls[[#This Row],[Date of Call]],"DDDD")</f>
        <v>الإثنين</v>
      </c>
      <c r="N110" t="str" cm="1">
        <f t="array" ref="N110">_xlfn.IFS(calls[[#This Row],[Duration]]&lt;=10,"Under 10 mins", calls[[#This Row],[Duration]]&lt;=30, "10 to 30 mins", calls[[#This Row],[Duration]]&lt;=60, "30 to 60 mins", calls[[#This Row],[Duration]]&lt;=120, "1 to 2 hours", TRUE, "More than 2 hours")</f>
        <v>More than 2 hours</v>
      </c>
      <c r="O110">
        <f>ROUND(calls[[#This Row],[Satisfaction Rating]],0)</f>
        <v>5</v>
      </c>
    </row>
    <row r="111" spans="2:15" x14ac:dyDescent="0.25">
      <c r="B111" t="s">
        <v>132</v>
      </c>
      <c r="C111" t="s">
        <v>18</v>
      </c>
      <c r="D111">
        <f>VLOOKUP(C111,customers[],3,0)</f>
        <v>43</v>
      </c>
      <c r="E111" t="str">
        <f>VLOOKUP(C111,customers[],2,0)</f>
        <v>Female</v>
      </c>
      <c r="F111" t="str">
        <f>VLOOKUP(C111,customers[],4,0)</f>
        <v>Cleveland</v>
      </c>
      <c r="G111">
        <v>137</v>
      </c>
      <c r="H111" s="17" t="s">
        <v>10</v>
      </c>
      <c r="I111" s="18">
        <v>44970</v>
      </c>
      <c r="J111">
        <v>34</v>
      </c>
      <c r="K111">
        <v>2.9</v>
      </c>
      <c r="L111">
        <f>IF(MONTH(calls[[#This Row],[Date of Call]])&lt;=6, YEAR(calls[[#This Row],[Date of Call]]), YEAR(calls[[#This Row],[Date of Call]])+1)</f>
        <v>2023</v>
      </c>
      <c r="M111" t="str">
        <f>TEXT(calls[[#This Row],[Date of Call]],"DDDD")</f>
        <v>الإثنين</v>
      </c>
      <c r="N111" t="str" cm="1">
        <f t="array" ref="N111">_xlfn.IFS(calls[[#This Row],[Duration]]&lt;=10,"Under 10 mins", calls[[#This Row],[Duration]]&lt;=30, "10 to 30 mins", calls[[#This Row],[Duration]]&lt;=60, "30 to 60 mins", calls[[#This Row],[Duration]]&lt;=120, "1 to 2 hours", TRUE, "More than 2 hours")</f>
        <v>More than 2 hours</v>
      </c>
      <c r="O111">
        <f>ROUND(calls[[#This Row],[Satisfaction Rating]],0)</f>
        <v>3</v>
      </c>
    </row>
    <row r="112" spans="2:15" x14ac:dyDescent="0.25">
      <c r="B112" t="s">
        <v>133</v>
      </c>
      <c r="C112" t="s">
        <v>11</v>
      </c>
      <c r="D112">
        <f>VLOOKUP(C112,customers[],3,0)</f>
        <v>36</v>
      </c>
      <c r="E112" t="str">
        <f>VLOOKUP(C112,customers[],2,0)</f>
        <v>Male</v>
      </c>
      <c r="F112" t="str">
        <f>VLOOKUP(C112,customers[],4,0)</f>
        <v>Cincinnati</v>
      </c>
      <c r="G112">
        <v>76</v>
      </c>
      <c r="H112" s="17" t="s">
        <v>5</v>
      </c>
      <c r="I112" s="18">
        <v>44970</v>
      </c>
      <c r="J112">
        <v>64</v>
      </c>
      <c r="K112">
        <v>3.4</v>
      </c>
      <c r="L112">
        <f>IF(MONTH(calls[[#This Row],[Date of Call]])&lt;=6, YEAR(calls[[#This Row],[Date of Call]]), YEAR(calls[[#This Row],[Date of Call]])+1)</f>
        <v>2023</v>
      </c>
      <c r="M112" t="str">
        <f>TEXT(calls[[#This Row],[Date of Call]],"DDDD")</f>
        <v>الإثنين</v>
      </c>
      <c r="N112" t="str" cm="1">
        <f t="array" ref="N112">_xlfn.IFS(calls[[#This Row],[Duration]]&lt;=10,"Under 10 mins", calls[[#This Row],[Duration]]&lt;=30, "10 to 30 mins", calls[[#This Row],[Duration]]&lt;=60, "30 to 60 mins", calls[[#This Row],[Duration]]&lt;=120, "1 to 2 hours", TRUE, "More than 2 hours")</f>
        <v>1 to 2 hours</v>
      </c>
      <c r="O112">
        <f>ROUND(calls[[#This Row],[Satisfaction Rating]],0)</f>
        <v>3</v>
      </c>
    </row>
    <row r="113" spans="2:15" x14ac:dyDescent="0.25">
      <c r="B113" t="s">
        <v>134</v>
      </c>
      <c r="C113" t="s">
        <v>22</v>
      </c>
      <c r="D113">
        <f>VLOOKUP(C113,customers[],3,0)</f>
        <v>37</v>
      </c>
      <c r="E113" t="str">
        <f>VLOOKUP(C113,customers[],2,0)</f>
        <v>Male</v>
      </c>
      <c r="F113" t="str">
        <f>VLOOKUP(C113,customers[],4,0)</f>
        <v>Columbus</v>
      </c>
      <c r="G113">
        <v>80</v>
      </c>
      <c r="H113" s="17" t="s">
        <v>12</v>
      </c>
      <c r="I113" s="18">
        <v>44971</v>
      </c>
      <c r="J113">
        <v>155</v>
      </c>
      <c r="K113">
        <v>3.2</v>
      </c>
      <c r="L113">
        <f>IF(MONTH(calls[[#This Row],[Date of Call]])&lt;=6, YEAR(calls[[#This Row],[Date of Call]]), YEAR(calls[[#This Row],[Date of Call]])+1)</f>
        <v>2023</v>
      </c>
      <c r="M113" t="str">
        <f>TEXT(calls[[#This Row],[Date of Call]],"DDDD")</f>
        <v>الثلاثاء</v>
      </c>
      <c r="N113" t="str" cm="1">
        <f t="array" ref="N113">_xlfn.IFS(calls[[#This Row],[Duration]]&lt;=10,"Under 10 mins", calls[[#This Row],[Duration]]&lt;=30, "10 to 30 mins", calls[[#This Row],[Duration]]&lt;=60, "30 to 60 mins", calls[[#This Row],[Duration]]&lt;=120, "1 to 2 hours", TRUE, "More than 2 hours")</f>
        <v>1 to 2 hours</v>
      </c>
      <c r="O113">
        <f>ROUND(calls[[#This Row],[Satisfaction Rating]],0)</f>
        <v>3</v>
      </c>
    </row>
    <row r="114" spans="2:15" x14ac:dyDescent="0.25">
      <c r="B114" t="s">
        <v>135</v>
      </c>
      <c r="C114" t="s">
        <v>11</v>
      </c>
      <c r="D114">
        <f>VLOOKUP(C114,customers[],3,0)</f>
        <v>36</v>
      </c>
      <c r="E114" t="str">
        <f>VLOOKUP(C114,customers[],2,0)</f>
        <v>Male</v>
      </c>
      <c r="F114" t="str">
        <f>VLOOKUP(C114,customers[],4,0)</f>
        <v>Cincinnati</v>
      </c>
      <c r="G114">
        <v>95</v>
      </c>
      <c r="H114" s="17" t="s">
        <v>8</v>
      </c>
      <c r="I114" s="18">
        <v>44972</v>
      </c>
      <c r="J114">
        <v>120</v>
      </c>
      <c r="K114">
        <v>4.8</v>
      </c>
      <c r="L114">
        <f>IF(MONTH(calls[[#This Row],[Date of Call]])&lt;=6, YEAR(calls[[#This Row],[Date of Call]]), YEAR(calls[[#This Row],[Date of Call]])+1)</f>
        <v>2023</v>
      </c>
      <c r="M114" t="str">
        <f>TEXT(calls[[#This Row],[Date of Call]],"DDDD")</f>
        <v>الأربعاء</v>
      </c>
      <c r="N114" t="str" cm="1">
        <f t="array" ref="N114">_xlfn.IFS(calls[[#This Row],[Duration]]&lt;=10,"Under 10 mins", calls[[#This Row],[Duration]]&lt;=30, "10 to 30 mins", calls[[#This Row],[Duration]]&lt;=60, "30 to 60 mins", calls[[#This Row],[Duration]]&lt;=120, "1 to 2 hours", TRUE, "More than 2 hours")</f>
        <v>1 to 2 hours</v>
      </c>
      <c r="O114">
        <f>ROUND(calls[[#This Row],[Satisfaction Rating]],0)</f>
        <v>5</v>
      </c>
    </row>
    <row r="115" spans="2:15" x14ac:dyDescent="0.25">
      <c r="B115" t="s">
        <v>136</v>
      </c>
      <c r="C115" t="s">
        <v>6</v>
      </c>
      <c r="D115">
        <f>VLOOKUP(C115,customers[],3,0)</f>
        <v>23</v>
      </c>
      <c r="E115" t="str">
        <f>VLOOKUP(C115,customers[],2,0)</f>
        <v>Male</v>
      </c>
      <c r="F115" t="str">
        <f>VLOOKUP(C115,customers[],4,0)</f>
        <v>Columbus</v>
      </c>
      <c r="G115">
        <v>30</v>
      </c>
      <c r="H115" s="17" t="s">
        <v>5</v>
      </c>
      <c r="I115" s="18">
        <v>44972</v>
      </c>
      <c r="J115">
        <v>105</v>
      </c>
      <c r="K115">
        <v>3.6</v>
      </c>
      <c r="L115">
        <f>IF(MONTH(calls[[#This Row],[Date of Call]])&lt;=6, YEAR(calls[[#This Row],[Date of Call]]), YEAR(calls[[#This Row],[Date of Call]])+1)</f>
        <v>2023</v>
      </c>
      <c r="M115" t="str">
        <f>TEXT(calls[[#This Row],[Date of Call]],"DDDD")</f>
        <v>الأربعاء</v>
      </c>
      <c r="N115" t="str" cm="1">
        <f t="array" ref="N115">_xlfn.IFS(calls[[#This Row],[Duration]]&lt;=10,"Under 10 mins", calls[[#This Row],[Duration]]&lt;=30, "10 to 30 mins", calls[[#This Row],[Duration]]&lt;=60, "30 to 60 mins", calls[[#This Row],[Duration]]&lt;=120, "1 to 2 hours", TRUE, "More than 2 hours")</f>
        <v>10 to 30 mins</v>
      </c>
      <c r="O115">
        <f>ROUND(calls[[#This Row],[Satisfaction Rating]],0)</f>
        <v>4</v>
      </c>
    </row>
    <row r="116" spans="2:15" x14ac:dyDescent="0.25">
      <c r="B116" t="s">
        <v>137</v>
      </c>
      <c r="C116" t="s">
        <v>7</v>
      </c>
      <c r="D116">
        <f>VLOOKUP(C116,customers[],3,0)</f>
        <v>30</v>
      </c>
      <c r="E116" t="str">
        <f>VLOOKUP(C116,customers[],2,0)</f>
        <v>Female</v>
      </c>
      <c r="F116" t="str">
        <f>VLOOKUP(C116,customers[],4,0)</f>
        <v>Cincinnati</v>
      </c>
      <c r="G116">
        <v>19</v>
      </c>
      <c r="H116" s="17" t="s">
        <v>10</v>
      </c>
      <c r="I116" s="18">
        <v>44972</v>
      </c>
      <c r="J116">
        <v>28</v>
      </c>
      <c r="K116">
        <v>4.9000000000000004</v>
      </c>
      <c r="L116">
        <f>IF(MONTH(calls[[#This Row],[Date of Call]])&lt;=6, YEAR(calls[[#This Row],[Date of Call]]), YEAR(calls[[#This Row],[Date of Call]])+1)</f>
        <v>2023</v>
      </c>
      <c r="M116" t="str">
        <f>TEXT(calls[[#This Row],[Date of Call]],"DDDD")</f>
        <v>الأربعاء</v>
      </c>
      <c r="N116" t="str" cm="1">
        <f t="array" ref="N116">_xlfn.IFS(calls[[#This Row],[Duration]]&lt;=10,"Under 10 mins", calls[[#This Row],[Duration]]&lt;=30, "10 to 30 mins", calls[[#This Row],[Duration]]&lt;=60, "30 to 60 mins", calls[[#This Row],[Duration]]&lt;=120, "1 to 2 hours", TRUE, "More than 2 hours")</f>
        <v>10 to 30 mins</v>
      </c>
      <c r="O116">
        <f>ROUND(calls[[#This Row],[Satisfaction Rating]],0)</f>
        <v>5</v>
      </c>
    </row>
    <row r="117" spans="2:15" x14ac:dyDescent="0.25">
      <c r="B117" t="s">
        <v>138</v>
      </c>
      <c r="C117" t="s">
        <v>17</v>
      </c>
      <c r="D117">
        <f>VLOOKUP(C117,customers[],3,0)</f>
        <v>30</v>
      </c>
      <c r="E117" t="str">
        <f>VLOOKUP(C117,customers[],2,0)</f>
        <v>Female</v>
      </c>
      <c r="F117" t="str">
        <f>VLOOKUP(C117,customers[],4,0)</f>
        <v>Cleveland</v>
      </c>
      <c r="G117">
        <v>38</v>
      </c>
      <c r="H117" s="17" t="s">
        <v>12</v>
      </c>
      <c r="I117" s="18">
        <v>44972</v>
      </c>
      <c r="J117">
        <v>100</v>
      </c>
      <c r="K117">
        <v>4.8</v>
      </c>
      <c r="L117">
        <f>IF(MONTH(calls[[#This Row],[Date of Call]])&lt;=6, YEAR(calls[[#This Row],[Date of Call]]), YEAR(calls[[#This Row],[Date of Call]])+1)</f>
        <v>2023</v>
      </c>
      <c r="M117" t="str">
        <f>TEXT(calls[[#This Row],[Date of Call]],"DDDD")</f>
        <v>الأربعاء</v>
      </c>
      <c r="N117" t="str" cm="1">
        <f t="array" ref="N117">_xlfn.IFS(calls[[#This Row],[Duration]]&lt;=10,"Under 10 mins", calls[[#This Row],[Duration]]&lt;=30, "10 to 30 mins", calls[[#This Row],[Duration]]&lt;=60, "30 to 60 mins", calls[[#This Row],[Duration]]&lt;=120, "1 to 2 hours", TRUE, "More than 2 hours")</f>
        <v>30 to 60 mins</v>
      </c>
      <c r="O117">
        <f>ROUND(calls[[#This Row],[Satisfaction Rating]],0)</f>
        <v>5</v>
      </c>
    </row>
    <row r="118" spans="2:15" x14ac:dyDescent="0.25">
      <c r="B118" t="s">
        <v>139</v>
      </c>
      <c r="C118" t="s">
        <v>13</v>
      </c>
      <c r="D118">
        <f>VLOOKUP(C118,customers[],3,0)</f>
        <v>37</v>
      </c>
      <c r="E118" t="str">
        <f>VLOOKUP(C118,customers[],2,0)</f>
        <v>Female</v>
      </c>
      <c r="F118" t="str">
        <f>VLOOKUP(C118,customers[],4,0)</f>
        <v>Cleveland</v>
      </c>
      <c r="G118">
        <v>55</v>
      </c>
      <c r="H118" s="17" t="s">
        <v>10</v>
      </c>
      <c r="I118" s="18">
        <v>44972</v>
      </c>
      <c r="J118">
        <v>23</v>
      </c>
      <c r="K118">
        <v>3.6</v>
      </c>
      <c r="L118">
        <f>IF(MONTH(calls[[#This Row],[Date of Call]])&lt;=6, YEAR(calls[[#This Row],[Date of Call]]), YEAR(calls[[#This Row],[Date of Call]])+1)</f>
        <v>2023</v>
      </c>
      <c r="M118" t="str">
        <f>TEXT(calls[[#This Row],[Date of Call]],"DDDD")</f>
        <v>الأربعاء</v>
      </c>
      <c r="N118" t="str" cm="1">
        <f t="array" ref="N118">_xlfn.IFS(calls[[#This Row],[Duration]]&lt;=10,"Under 10 mins", calls[[#This Row],[Duration]]&lt;=30, "10 to 30 mins", calls[[#This Row],[Duration]]&lt;=60, "30 to 60 mins", calls[[#This Row],[Duration]]&lt;=120, "1 to 2 hours", TRUE, "More than 2 hours")</f>
        <v>30 to 60 mins</v>
      </c>
      <c r="O118">
        <f>ROUND(calls[[#This Row],[Satisfaction Rating]],0)</f>
        <v>4</v>
      </c>
    </row>
    <row r="119" spans="2:15" x14ac:dyDescent="0.25">
      <c r="B119" t="s">
        <v>140</v>
      </c>
      <c r="C119" t="s">
        <v>21</v>
      </c>
      <c r="D119">
        <f>VLOOKUP(C119,customers[],3,0)</f>
        <v>25</v>
      </c>
      <c r="E119" t="str">
        <f>VLOOKUP(C119,customers[],2,0)</f>
        <v>Female</v>
      </c>
      <c r="F119" t="str">
        <f>VLOOKUP(C119,customers[],4,0)</f>
        <v>Columbus</v>
      </c>
      <c r="G119">
        <v>27</v>
      </c>
      <c r="H119" s="17" t="s">
        <v>5</v>
      </c>
      <c r="I119" s="18">
        <v>44973</v>
      </c>
      <c r="J119">
        <v>70</v>
      </c>
      <c r="K119">
        <v>3.9</v>
      </c>
      <c r="L119">
        <f>IF(MONTH(calls[[#This Row],[Date of Call]])&lt;=6, YEAR(calls[[#This Row],[Date of Call]]), YEAR(calls[[#This Row],[Date of Call]])+1)</f>
        <v>2023</v>
      </c>
      <c r="M119" t="str">
        <f>TEXT(calls[[#This Row],[Date of Call]],"DDDD")</f>
        <v>الخميس</v>
      </c>
      <c r="N119" t="str" cm="1">
        <f t="array" ref="N119">_xlfn.IFS(calls[[#This Row],[Duration]]&lt;=10,"Under 10 mins", calls[[#This Row],[Duration]]&lt;=30, "10 to 30 mins", calls[[#This Row],[Duration]]&lt;=60, "30 to 60 mins", calls[[#This Row],[Duration]]&lt;=120, "1 to 2 hours", TRUE, "More than 2 hours")</f>
        <v>10 to 30 mins</v>
      </c>
      <c r="O119">
        <f>ROUND(calls[[#This Row],[Satisfaction Rating]],0)</f>
        <v>4</v>
      </c>
    </row>
    <row r="120" spans="2:15" x14ac:dyDescent="0.25">
      <c r="B120" t="s">
        <v>141</v>
      </c>
      <c r="C120" t="s">
        <v>21</v>
      </c>
      <c r="D120">
        <f>VLOOKUP(C120,customers[],3,0)</f>
        <v>25</v>
      </c>
      <c r="E120" t="str">
        <f>VLOOKUP(C120,customers[],2,0)</f>
        <v>Female</v>
      </c>
      <c r="F120" t="str">
        <f>VLOOKUP(C120,customers[],4,0)</f>
        <v>Columbus</v>
      </c>
      <c r="G120">
        <v>32</v>
      </c>
      <c r="H120" s="17" t="s">
        <v>5</v>
      </c>
      <c r="I120" s="18">
        <v>44973</v>
      </c>
      <c r="J120">
        <v>37</v>
      </c>
      <c r="K120">
        <v>1.9</v>
      </c>
      <c r="L120">
        <f>IF(MONTH(calls[[#This Row],[Date of Call]])&lt;=6, YEAR(calls[[#This Row],[Date of Call]]), YEAR(calls[[#This Row],[Date of Call]])+1)</f>
        <v>2023</v>
      </c>
      <c r="M120" t="str">
        <f>TEXT(calls[[#This Row],[Date of Call]],"DDDD")</f>
        <v>الخميس</v>
      </c>
      <c r="N120" t="str" cm="1">
        <f t="array" ref="N120">_xlfn.IFS(calls[[#This Row],[Duration]]&lt;=10,"Under 10 mins", calls[[#This Row],[Duration]]&lt;=30, "10 to 30 mins", calls[[#This Row],[Duration]]&lt;=60, "30 to 60 mins", calls[[#This Row],[Duration]]&lt;=120, "1 to 2 hours", TRUE, "More than 2 hours")</f>
        <v>30 to 60 mins</v>
      </c>
      <c r="O120">
        <f>ROUND(calls[[#This Row],[Satisfaction Rating]],0)</f>
        <v>2</v>
      </c>
    </row>
    <row r="121" spans="2:15" x14ac:dyDescent="0.25">
      <c r="B121" t="s">
        <v>142</v>
      </c>
      <c r="C121" t="s">
        <v>23</v>
      </c>
      <c r="D121">
        <f>VLOOKUP(C121,customers[],3,0)</f>
        <v>31</v>
      </c>
      <c r="E121" t="str">
        <f>VLOOKUP(C121,customers[],2,0)</f>
        <v>Male</v>
      </c>
      <c r="F121" t="str">
        <f>VLOOKUP(C121,customers[],4,0)</f>
        <v>Cleveland</v>
      </c>
      <c r="G121">
        <v>116</v>
      </c>
      <c r="H121" s="17" t="s">
        <v>9</v>
      </c>
      <c r="I121" s="18">
        <v>44973</v>
      </c>
      <c r="J121">
        <v>140</v>
      </c>
      <c r="K121">
        <v>3.6</v>
      </c>
      <c r="L121">
        <f>IF(MONTH(calls[[#This Row],[Date of Call]])&lt;=6, YEAR(calls[[#This Row],[Date of Call]]), YEAR(calls[[#This Row],[Date of Call]])+1)</f>
        <v>2023</v>
      </c>
      <c r="M121" t="str">
        <f>TEXT(calls[[#This Row],[Date of Call]],"DDDD")</f>
        <v>الخميس</v>
      </c>
      <c r="N121" t="str" cm="1">
        <f t="array" ref="N121">_xlfn.IFS(calls[[#This Row],[Duration]]&lt;=10,"Under 10 mins", calls[[#This Row],[Duration]]&lt;=30, "10 to 30 mins", calls[[#This Row],[Duration]]&lt;=60, "30 to 60 mins", calls[[#This Row],[Duration]]&lt;=120, "1 to 2 hours", TRUE, "More than 2 hours")</f>
        <v>1 to 2 hours</v>
      </c>
      <c r="O121">
        <f>ROUND(calls[[#This Row],[Satisfaction Rating]],0)</f>
        <v>4</v>
      </c>
    </row>
    <row r="122" spans="2:15" x14ac:dyDescent="0.25">
      <c r="B122" t="s">
        <v>143</v>
      </c>
      <c r="C122" t="s">
        <v>19</v>
      </c>
      <c r="D122">
        <f>VLOOKUP(C122,customers[],3,0)</f>
        <v>26</v>
      </c>
      <c r="E122" t="str">
        <f>VLOOKUP(C122,customers[],2,0)</f>
        <v>Male</v>
      </c>
      <c r="F122" t="str">
        <f>VLOOKUP(C122,customers[],4,0)</f>
        <v>Cincinnati</v>
      </c>
      <c r="G122">
        <v>99</v>
      </c>
      <c r="H122" s="17" t="s">
        <v>8</v>
      </c>
      <c r="I122" s="18">
        <v>44973</v>
      </c>
      <c r="J122">
        <v>78</v>
      </c>
      <c r="K122">
        <v>4.0999999999999996</v>
      </c>
      <c r="L122">
        <f>IF(MONTH(calls[[#This Row],[Date of Call]])&lt;=6, YEAR(calls[[#This Row],[Date of Call]]), YEAR(calls[[#This Row],[Date of Call]])+1)</f>
        <v>2023</v>
      </c>
      <c r="M122" t="str">
        <f>TEXT(calls[[#This Row],[Date of Call]],"DDDD")</f>
        <v>الخميس</v>
      </c>
      <c r="N122" t="str" cm="1">
        <f t="array" ref="N122">_xlfn.IFS(calls[[#This Row],[Duration]]&lt;=10,"Under 10 mins", calls[[#This Row],[Duration]]&lt;=30, "10 to 30 mins", calls[[#This Row],[Duration]]&lt;=60, "30 to 60 mins", calls[[#This Row],[Duration]]&lt;=120, "1 to 2 hours", TRUE, "More than 2 hours")</f>
        <v>1 to 2 hours</v>
      </c>
      <c r="O122">
        <f>ROUND(calls[[#This Row],[Satisfaction Rating]],0)</f>
        <v>4</v>
      </c>
    </row>
    <row r="123" spans="2:15" x14ac:dyDescent="0.25">
      <c r="B123" t="s">
        <v>144</v>
      </c>
      <c r="C123" t="s">
        <v>11</v>
      </c>
      <c r="D123">
        <f>VLOOKUP(C123,customers[],3,0)</f>
        <v>36</v>
      </c>
      <c r="E123" t="str">
        <f>VLOOKUP(C123,customers[],2,0)</f>
        <v>Male</v>
      </c>
      <c r="F123" t="str">
        <f>VLOOKUP(C123,customers[],4,0)</f>
        <v>Cincinnati</v>
      </c>
      <c r="G123">
        <v>75</v>
      </c>
      <c r="H123" s="17" t="s">
        <v>5</v>
      </c>
      <c r="I123" s="18">
        <v>44974</v>
      </c>
      <c r="J123">
        <v>21</v>
      </c>
      <c r="K123">
        <v>4.2</v>
      </c>
      <c r="L123">
        <f>IF(MONTH(calls[[#This Row],[Date of Call]])&lt;=6, YEAR(calls[[#This Row],[Date of Call]]), YEAR(calls[[#This Row],[Date of Call]])+1)</f>
        <v>2023</v>
      </c>
      <c r="M123" t="str">
        <f>TEXT(calls[[#This Row],[Date of Call]],"DDDD")</f>
        <v>الجمعة</v>
      </c>
      <c r="N123" t="str" cm="1">
        <f t="array" ref="N123">_xlfn.IFS(calls[[#This Row],[Duration]]&lt;=10,"Under 10 mins", calls[[#This Row],[Duration]]&lt;=30, "10 to 30 mins", calls[[#This Row],[Duration]]&lt;=60, "30 to 60 mins", calls[[#This Row],[Duration]]&lt;=120, "1 to 2 hours", TRUE, "More than 2 hours")</f>
        <v>1 to 2 hours</v>
      </c>
      <c r="O123">
        <f>ROUND(calls[[#This Row],[Satisfaction Rating]],0)</f>
        <v>4</v>
      </c>
    </row>
    <row r="124" spans="2:15" x14ac:dyDescent="0.25">
      <c r="B124" t="s">
        <v>145</v>
      </c>
      <c r="C124" t="s">
        <v>22</v>
      </c>
      <c r="D124">
        <f>VLOOKUP(C124,customers[],3,0)</f>
        <v>37</v>
      </c>
      <c r="E124" t="str">
        <f>VLOOKUP(C124,customers[],2,0)</f>
        <v>Male</v>
      </c>
      <c r="F124" t="str">
        <f>VLOOKUP(C124,customers[],4,0)</f>
        <v>Columbus</v>
      </c>
      <c r="G124">
        <v>57</v>
      </c>
      <c r="H124" s="17" t="s">
        <v>9</v>
      </c>
      <c r="I124" s="18">
        <v>44974</v>
      </c>
      <c r="J124">
        <v>88</v>
      </c>
      <c r="K124">
        <v>4.3</v>
      </c>
      <c r="L124">
        <f>IF(MONTH(calls[[#This Row],[Date of Call]])&lt;=6, YEAR(calls[[#This Row],[Date of Call]]), YEAR(calls[[#This Row],[Date of Call]])+1)</f>
        <v>2023</v>
      </c>
      <c r="M124" t="str">
        <f>TEXT(calls[[#This Row],[Date of Call]],"DDDD")</f>
        <v>الجمعة</v>
      </c>
      <c r="N124" t="str" cm="1">
        <f t="array" ref="N124">_xlfn.IFS(calls[[#This Row],[Duration]]&lt;=10,"Under 10 mins", calls[[#This Row],[Duration]]&lt;=30, "10 to 30 mins", calls[[#This Row],[Duration]]&lt;=60, "30 to 60 mins", calls[[#This Row],[Duration]]&lt;=120, "1 to 2 hours", TRUE, "More than 2 hours")</f>
        <v>30 to 60 mins</v>
      </c>
      <c r="O124">
        <f>ROUND(calls[[#This Row],[Satisfaction Rating]],0)</f>
        <v>4</v>
      </c>
    </row>
    <row r="125" spans="2:15" x14ac:dyDescent="0.25">
      <c r="B125" t="s">
        <v>146</v>
      </c>
      <c r="C125" t="s">
        <v>14</v>
      </c>
      <c r="D125">
        <f>VLOOKUP(C125,customers[],3,0)</f>
        <v>22</v>
      </c>
      <c r="E125" t="str">
        <f>VLOOKUP(C125,customers[],2,0)</f>
        <v>Female</v>
      </c>
      <c r="F125" t="str">
        <f>VLOOKUP(C125,customers[],4,0)</f>
        <v>Cleveland</v>
      </c>
      <c r="G125">
        <v>155</v>
      </c>
      <c r="H125" s="17" t="s">
        <v>9</v>
      </c>
      <c r="I125" s="18">
        <v>44975</v>
      </c>
      <c r="J125">
        <v>180</v>
      </c>
      <c r="K125">
        <v>2.2000000000000002</v>
      </c>
      <c r="L125">
        <f>IF(MONTH(calls[[#This Row],[Date of Call]])&lt;=6, YEAR(calls[[#This Row],[Date of Call]]), YEAR(calls[[#This Row],[Date of Call]])+1)</f>
        <v>2023</v>
      </c>
      <c r="M125" t="str">
        <f>TEXT(calls[[#This Row],[Date of Call]],"DDDD")</f>
        <v>السبت</v>
      </c>
      <c r="N125" t="str" cm="1">
        <f t="array" ref="N125">_xlfn.IFS(calls[[#This Row],[Duration]]&lt;=10,"Under 10 mins", calls[[#This Row],[Duration]]&lt;=30, "10 to 30 mins", calls[[#This Row],[Duration]]&lt;=60, "30 to 60 mins", calls[[#This Row],[Duration]]&lt;=120, "1 to 2 hours", TRUE, "More than 2 hours")</f>
        <v>More than 2 hours</v>
      </c>
      <c r="O125">
        <f>ROUND(calls[[#This Row],[Satisfaction Rating]],0)</f>
        <v>2</v>
      </c>
    </row>
    <row r="126" spans="2:15" x14ac:dyDescent="0.25">
      <c r="B126" t="s">
        <v>147</v>
      </c>
      <c r="C126" t="s">
        <v>19</v>
      </c>
      <c r="D126">
        <f>VLOOKUP(C126,customers[],3,0)</f>
        <v>26</v>
      </c>
      <c r="E126" t="str">
        <f>VLOOKUP(C126,customers[],2,0)</f>
        <v>Male</v>
      </c>
      <c r="F126" t="str">
        <f>VLOOKUP(C126,customers[],4,0)</f>
        <v>Cincinnati</v>
      </c>
      <c r="G126">
        <v>68</v>
      </c>
      <c r="H126" s="17" t="s">
        <v>8</v>
      </c>
      <c r="I126" s="18">
        <v>44975</v>
      </c>
      <c r="J126">
        <v>22</v>
      </c>
      <c r="K126">
        <v>3.3</v>
      </c>
      <c r="L126">
        <f>IF(MONTH(calls[[#This Row],[Date of Call]])&lt;=6, YEAR(calls[[#This Row],[Date of Call]]), YEAR(calls[[#This Row],[Date of Call]])+1)</f>
        <v>2023</v>
      </c>
      <c r="M126" t="str">
        <f>TEXT(calls[[#This Row],[Date of Call]],"DDDD")</f>
        <v>السبت</v>
      </c>
      <c r="N126" t="str" cm="1">
        <f t="array" ref="N126">_xlfn.IFS(calls[[#This Row],[Duration]]&lt;=10,"Under 10 mins", calls[[#This Row],[Duration]]&lt;=30, "10 to 30 mins", calls[[#This Row],[Duration]]&lt;=60, "30 to 60 mins", calls[[#This Row],[Duration]]&lt;=120, "1 to 2 hours", TRUE, "More than 2 hours")</f>
        <v>1 to 2 hours</v>
      </c>
      <c r="O126">
        <f>ROUND(calls[[#This Row],[Satisfaction Rating]],0)</f>
        <v>3</v>
      </c>
    </row>
    <row r="127" spans="2:15" x14ac:dyDescent="0.25">
      <c r="B127" t="s">
        <v>148</v>
      </c>
      <c r="C127" t="s">
        <v>17</v>
      </c>
      <c r="D127">
        <f>VLOOKUP(C127,customers[],3,0)</f>
        <v>30</v>
      </c>
      <c r="E127" t="str">
        <f>VLOOKUP(C127,customers[],2,0)</f>
        <v>Female</v>
      </c>
      <c r="F127" t="str">
        <f>VLOOKUP(C127,customers[],4,0)</f>
        <v>Cleveland</v>
      </c>
      <c r="G127">
        <v>95</v>
      </c>
      <c r="H127" s="17" t="s">
        <v>8</v>
      </c>
      <c r="I127" s="18">
        <v>44975</v>
      </c>
      <c r="J127">
        <v>52</v>
      </c>
      <c r="K127">
        <v>4.8</v>
      </c>
      <c r="L127">
        <f>IF(MONTH(calls[[#This Row],[Date of Call]])&lt;=6, YEAR(calls[[#This Row],[Date of Call]]), YEAR(calls[[#This Row],[Date of Call]])+1)</f>
        <v>2023</v>
      </c>
      <c r="M127" t="str">
        <f>TEXT(calls[[#This Row],[Date of Call]],"DDDD")</f>
        <v>السبت</v>
      </c>
      <c r="N127" t="str" cm="1">
        <f t="array" ref="N127">_xlfn.IFS(calls[[#This Row],[Duration]]&lt;=10,"Under 10 mins", calls[[#This Row],[Duration]]&lt;=30, "10 to 30 mins", calls[[#This Row],[Duration]]&lt;=60, "30 to 60 mins", calls[[#This Row],[Duration]]&lt;=120, "1 to 2 hours", TRUE, "More than 2 hours")</f>
        <v>1 to 2 hours</v>
      </c>
      <c r="O127">
        <f>ROUND(calls[[#This Row],[Satisfaction Rating]],0)</f>
        <v>5</v>
      </c>
    </row>
    <row r="128" spans="2:15" x14ac:dyDescent="0.25">
      <c r="B128" t="s">
        <v>149</v>
      </c>
      <c r="C128" t="s">
        <v>18</v>
      </c>
      <c r="D128">
        <f>VLOOKUP(C128,customers[],3,0)</f>
        <v>43</v>
      </c>
      <c r="E128" t="str">
        <f>VLOOKUP(C128,customers[],2,0)</f>
        <v>Female</v>
      </c>
      <c r="F128" t="str">
        <f>VLOOKUP(C128,customers[],4,0)</f>
        <v>Cleveland</v>
      </c>
      <c r="G128">
        <v>65</v>
      </c>
      <c r="H128" s="17" t="s">
        <v>9</v>
      </c>
      <c r="I128" s="18">
        <v>44976</v>
      </c>
      <c r="J128">
        <v>80</v>
      </c>
      <c r="K128">
        <v>4</v>
      </c>
      <c r="L128">
        <f>IF(MONTH(calls[[#This Row],[Date of Call]])&lt;=6, YEAR(calls[[#This Row],[Date of Call]]), YEAR(calls[[#This Row],[Date of Call]])+1)</f>
        <v>2023</v>
      </c>
      <c r="M128" t="str">
        <f>TEXT(calls[[#This Row],[Date of Call]],"DDDD")</f>
        <v>الأحد</v>
      </c>
      <c r="N128" t="str" cm="1">
        <f t="array" ref="N128">_xlfn.IFS(calls[[#This Row],[Duration]]&lt;=10,"Under 10 mins", calls[[#This Row],[Duration]]&lt;=30, "10 to 30 mins", calls[[#This Row],[Duration]]&lt;=60, "30 to 60 mins", calls[[#This Row],[Duration]]&lt;=120, "1 to 2 hours", TRUE, "More than 2 hours")</f>
        <v>1 to 2 hours</v>
      </c>
      <c r="O128">
        <f>ROUND(calls[[#This Row],[Satisfaction Rating]],0)</f>
        <v>4</v>
      </c>
    </row>
    <row r="129" spans="2:15" x14ac:dyDescent="0.25">
      <c r="B129" t="s">
        <v>150</v>
      </c>
      <c r="C129" t="s">
        <v>7</v>
      </c>
      <c r="D129">
        <f>VLOOKUP(C129,customers[],3,0)</f>
        <v>30</v>
      </c>
      <c r="E129" t="str">
        <f>VLOOKUP(C129,customers[],2,0)</f>
        <v>Female</v>
      </c>
      <c r="F129" t="str">
        <f>VLOOKUP(C129,customers[],4,0)</f>
        <v>Cincinnati</v>
      </c>
      <c r="G129">
        <v>114</v>
      </c>
      <c r="H129" s="17" t="s">
        <v>10</v>
      </c>
      <c r="I129" s="18">
        <v>44976</v>
      </c>
      <c r="J129">
        <v>54</v>
      </c>
      <c r="K129">
        <v>1.1000000000000001</v>
      </c>
      <c r="L129">
        <f>IF(MONTH(calls[[#This Row],[Date of Call]])&lt;=6, YEAR(calls[[#This Row],[Date of Call]]), YEAR(calls[[#This Row],[Date of Call]])+1)</f>
        <v>2023</v>
      </c>
      <c r="M129" t="str">
        <f>TEXT(calls[[#This Row],[Date of Call]],"DDDD")</f>
        <v>الأحد</v>
      </c>
      <c r="N129" t="str" cm="1">
        <f t="array" ref="N129">_xlfn.IFS(calls[[#This Row],[Duration]]&lt;=10,"Under 10 mins", calls[[#This Row],[Duration]]&lt;=30, "10 to 30 mins", calls[[#This Row],[Duration]]&lt;=60, "30 to 60 mins", calls[[#This Row],[Duration]]&lt;=120, "1 to 2 hours", TRUE, "More than 2 hours")</f>
        <v>1 to 2 hours</v>
      </c>
      <c r="O129">
        <f>ROUND(calls[[#This Row],[Satisfaction Rating]],0)</f>
        <v>1</v>
      </c>
    </row>
    <row r="130" spans="2:15" x14ac:dyDescent="0.25">
      <c r="B130" t="s">
        <v>151</v>
      </c>
      <c r="C130" t="s">
        <v>11</v>
      </c>
      <c r="D130">
        <f>VLOOKUP(C130,customers[],3,0)</f>
        <v>36</v>
      </c>
      <c r="E130" t="str">
        <f>VLOOKUP(C130,customers[],2,0)</f>
        <v>Male</v>
      </c>
      <c r="F130" t="str">
        <f>VLOOKUP(C130,customers[],4,0)</f>
        <v>Cincinnati</v>
      </c>
      <c r="G130">
        <v>155</v>
      </c>
      <c r="H130" s="17" t="s">
        <v>10</v>
      </c>
      <c r="I130" s="18">
        <v>44977</v>
      </c>
      <c r="J130">
        <v>80</v>
      </c>
      <c r="K130">
        <v>3.9</v>
      </c>
      <c r="L130">
        <f>IF(MONTH(calls[[#This Row],[Date of Call]])&lt;=6, YEAR(calls[[#This Row],[Date of Call]]), YEAR(calls[[#This Row],[Date of Call]])+1)</f>
        <v>2023</v>
      </c>
      <c r="M130" t="str">
        <f>TEXT(calls[[#This Row],[Date of Call]],"DDDD")</f>
        <v>الإثنين</v>
      </c>
      <c r="N130" t="str" cm="1">
        <f t="array" ref="N130">_xlfn.IFS(calls[[#This Row],[Duration]]&lt;=10,"Under 10 mins", calls[[#This Row],[Duration]]&lt;=30, "10 to 30 mins", calls[[#This Row],[Duration]]&lt;=60, "30 to 60 mins", calls[[#This Row],[Duration]]&lt;=120, "1 to 2 hours", TRUE, "More than 2 hours")</f>
        <v>More than 2 hours</v>
      </c>
      <c r="O130">
        <f>ROUND(calls[[#This Row],[Satisfaction Rating]],0)</f>
        <v>4</v>
      </c>
    </row>
    <row r="131" spans="2:15" x14ac:dyDescent="0.25">
      <c r="B131" t="s">
        <v>152</v>
      </c>
      <c r="C131" t="s">
        <v>18</v>
      </c>
      <c r="D131">
        <f>VLOOKUP(C131,customers[],3,0)</f>
        <v>43</v>
      </c>
      <c r="E131" t="str">
        <f>VLOOKUP(C131,customers[],2,0)</f>
        <v>Female</v>
      </c>
      <c r="F131" t="str">
        <f>VLOOKUP(C131,customers[],4,0)</f>
        <v>Cleveland</v>
      </c>
      <c r="G131">
        <v>114</v>
      </c>
      <c r="H131" s="17" t="s">
        <v>9</v>
      </c>
      <c r="I131" s="18">
        <v>44978</v>
      </c>
      <c r="J131">
        <v>120</v>
      </c>
      <c r="K131">
        <v>1.8</v>
      </c>
      <c r="L131">
        <f>IF(MONTH(calls[[#This Row],[Date of Call]])&lt;=6, YEAR(calls[[#This Row],[Date of Call]]), YEAR(calls[[#This Row],[Date of Call]])+1)</f>
        <v>2023</v>
      </c>
      <c r="M131" t="str">
        <f>TEXT(calls[[#This Row],[Date of Call]],"DDDD")</f>
        <v>الثلاثاء</v>
      </c>
      <c r="N131" t="str" cm="1">
        <f t="array" ref="N131">_xlfn.IFS(calls[[#This Row],[Duration]]&lt;=10,"Under 10 mins", calls[[#This Row],[Duration]]&lt;=30, "10 to 30 mins", calls[[#This Row],[Duration]]&lt;=60, "30 to 60 mins", calls[[#This Row],[Duration]]&lt;=120, "1 to 2 hours", TRUE, "More than 2 hours")</f>
        <v>1 to 2 hours</v>
      </c>
      <c r="O131">
        <f>ROUND(calls[[#This Row],[Satisfaction Rating]],0)</f>
        <v>2</v>
      </c>
    </row>
    <row r="132" spans="2:15" x14ac:dyDescent="0.25">
      <c r="B132" t="s">
        <v>153</v>
      </c>
      <c r="C132" t="s">
        <v>14</v>
      </c>
      <c r="D132">
        <f>VLOOKUP(C132,customers[],3,0)</f>
        <v>22</v>
      </c>
      <c r="E132" t="str">
        <f>VLOOKUP(C132,customers[],2,0)</f>
        <v>Female</v>
      </c>
      <c r="F132" t="str">
        <f>VLOOKUP(C132,customers[],4,0)</f>
        <v>Cleveland</v>
      </c>
      <c r="G132">
        <v>130</v>
      </c>
      <c r="H132" s="17" t="s">
        <v>12</v>
      </c>
      <c r="I132" s="18">
        <v>44978</v>
      </c>
      <c r="J132">
        <v>150</v>
      </c>
      <c r="K132">
        <v>1</v>
      </c>
      <c r="L132">
        <f>IF(MONTH(calls[[#This Row],[Date of Call]])&lt;=6, YEAR(calls[[#This Row],[Date of Call]]), YEAR(calls[[#This Row],[Date of Call]])+1)</f>
        <v>2023</v>
      </c>
      <c r="M132" t="str">
        <f>TEXT(calls[[#This Row],[Date of Call]],"DDDD")</f>
        <v>الثلاثاء</v>
      </c>
      <c r="N132" t="str" cm="1">
        <f t="array" ref="N132">_xlfn.IFS(calls[[#This Row],[Duration]]&lt;=10,"Under 10 mins", calls[[#This Row],[Duration]]&lt;=30, "10 to 30 mins", calls[[#This Row],[Duration]]&lt;=60, "30 to 60 mins", calls[[#This Row],[Duration]]&lt;=120, "1 to 2 hours", TRUE, "More than 2 hours")</f>
        <v>More than 2 hours</v>
      </c>
      <c r="O132">
        <f>ROUND(calls[[#This Row],[Satisfaction Rating]],0)</f>
        <v>1</v>
      </c>
    </row>
    <row r="133" spans="2:15" x14ac:dyDescent="0.25">
      <c r="B133" t="s">
        <v>154</v>
      </c>
      <c r="C133" t="s">
        <v>11</v>
      </c>
      <c r="D133">
        <f>VLOOKUP(C133,customers[],3,0)</f>
        <v>36</v>
      </c>
      <c r="E133" t="str">
        <f>VLOOKUP(C133,customers[],2,0)</f>
        <v>Male</v>
      </c>
      <c r="F133" t="str">
        <f>VLOOKUP(C133,customers[],4,0)</f>
        <v>Cincinnati</v>
      </c>
      <c r="G133">
        <v>89</v>
      </c>
      <c r="H133" s="17" t="s">
        <v>9</v>
      </c>
      <c r="I133" s="18">
        <v>44978</v>
      </c>
      <c r="J133">
        <v>90</v>
      </c>
      <c r="K133">
        <v>4.3</v>
      </c>
      <c r="L133">
        <f>IF(MONTH(calls[[#This Row],[Date of Call]])&lt;=6, YEAR(calls[[#This Row],[Date of Call]]), YEAR(calls[[#This Row],[Date of Call]])+1)</f>
        <v>2023</v>
      </c>
      <c r="M133" t="str">
        <f>TEXT(calls[[#This Row],[Date of Call]],"DDDD")</f>
        <v>الثلاثاء</v>
      </c>
      <c r="N133" t="str" cm="1">
        <f t="array" ref="N133">_xlfn.IFS(calls[[#This Row],[Duration]]&lt;=10,"Under 10 mins", calls[[#This Row],[Duration]]&lt;=30, "10 to 30 mins", calls[[#This Row],[Duration]]&lt;=60, "30 to 60 mins", calls[[#This Row],[Duration]]&lt;=120, "1 to 2 hours", TRUE, "More than 2 hours")</f>
        <v>1 to 2 hours</v>
      </c>
      <c r="O133">
        <f>ROUND(calls[[#This Row],[Satisfaction Rating]],0)</f>
        <v>4</v>
      </c>
    </row>
    <row r="134" spans="2:15" x14ac:dyDescent="0.25">
      <c r="B134" t="s">
        <v>155</v>
      </c>
      <c r="C134" t="s">
        <v>16</v>
      </c>
      <c r="D134">
        <f>VLOOKUP(C134,customers[],3,0)</f>
        <v>41</v>
      </c>
      <c r="E134" t="str">
        <f>VLOOKUP(C134,customers[],2,0)</f>
        <v>Male</v>
      </c>
      <c r="F134" t="str">
        <f>VLOOKUP(C134,customers[],4,0)</f>
        <v>Columbus</v>
      </c>
      <c r="G134">
        <v>61</v>
      </c>
      <c r="H134" s="17" t="s">
        <v>5</v>
      </c>
      <c r="I134" s="18">
        <v>44979</v>
      </c>
      <c r="J134">
        <v>140</v>
      </c>
      <c r="K134">
        <v>3.4</v>
      </c>
      <c r="L134">
        <f>IF(MONTH(calls[[#This Row],[Date of Call]])&lt;=6, YEAR(calls[[#This Row],[Date of Call]]), YEAR(calls[[#This Row],[Date of Call]])+1)</f>
        <v>2023</v>
      </c>
      <c r="M134" t="str">
        <f>TEXT(calls[[#This Row],[Date of Call]],"DDDD")</f>
        <v>الأربعاء</v>
      </c>
      <c r="N134" t="str" cm="1">
        <f t="array" ref="N134">_xlfn.IFS(calls[[#This Row],[Duration]]&lt;=10,"Under 10 mins", calls[[#This Row],[Duration]]&lt;=30, "10 to 30 mins", calls[[#This Row],[Duration]]&lt;=60, "30 to 60 mins", calls[[#This Row],[Duration]]&lt;=120, "1 to 2 hours", TRUE, "More than 2 hours")</f>
        <v>1 to 2 hours</v>
      </c>
      <c r="O134">
        <f>ROUND(calls[[#This Row],[Satisfaction Rating]],0)</f>
        <v>3</v>
      </c>
    </row>
    <row r="135" spans="2:15" x14ac:dyDescent="0.25">
      <c r="B135" t="s">
        <v>156</v>
      </c>
      <c r="C135" t="s">
        <v>17</v>
      </c>
      <c r="D135">
        <f>VLOOKUP(C135,customers[],3,0)</f>
        <v>30</v>
      </c>
      <c r="E135" t="str">
        <f>VLOOKUP(C135,customers[],2,0)</f>
        <v>Female</v>
      </c>
      <c r="F135" t="str">
        <f>VLOOKUP(C135,customers[],4,0)</f>
        <v>Cleveland</v>
      </c>
      <c r="G135">
        <v>154</v>
      </c>
      <c r="H135" s="17" t="s">
        <v>10</v>
      </c>
      <c r="I135" s="18">
        <v>44979</v>
      </c>
      <c r="J135">
        <v>22</v>
      </c>
      <c r="K135">
        <v>3.4</v>
      </c>
      <c r="L135">
        <f>IF(MONTH(calls[[#This Row],[Date of Call]])&lt;=6, YEAR(calls[[#This Row],[Date of Call]]), YEAR(calls[[#This Row],[Date of Call]])+1)</f>
        <v>2023</v>
      </c>
      <c r="M135" t="str">
        <f>TEXT(calls[[#This Row],[Date of Call]],"DDDD")</f>
        <v>الأربعاء</v>
      </c>
      <c r="N135" t="str" cm="1">
        <f t="array" ref="N135">_xlfn.IFS(calls[[#This Row],[Duration]]&lt;=10,"Under 10 mins", calls[[#This Row],[Duration]]&lt;=30, "10 to 30 mins", calls[[#This Row],[Duration]]&lt;=60, "30 to 60 mins", calls[[#This Row],[Duration]]&lt;=120, "1 to 2 hours", TRUE, "More than 2 hours")</f>
        <v>More than 2 hours</v>
      </c>
      <c r="O135">
        <f>ROUND(calls[[#This Row],[Satisfaction Rating]],0)</f>
        <v>3</v>
      </c>
    </row>
    <row r="136" spans="2:15" x14ac:dyDescent="0.25">
      <c r="B136" t="s">
        <v>157</v>
      </c>
      <c r="C136" t="s">
        <v>18</v>
      </c>
      <c r="D136">
        <f>VLOOKUP(C136,customers[],3,0)</f>
        <v>43</v>
      </c>
      <c r="E136" t="str">
        <f>VLOOKUP(C136,customers[],2,0)</f>
        <v>Female</v>
      </c>
      <c r="F136" t="str">
        <f>VLOOKUP(C136,customers[],4,0)</f>
        <v>Cleveland</v>
      </c>
      <c r="G136">
        <v>115</v>
      </c>
      <c r="H136" s="17" t="s">
        <v>12</v>
      </c>
      <c r="I136" s="18">
        <v>44980</v>
      </c>
      <c r="J136">
        <v>150</v>
      </c>
      <c r="K136">
        <v>4.0999999999999996</v>
      </c>
      <c r="L136">
        <f>IF(MONTH(calls[[#This Row],[Date of Call]])&lt;=6, YEAR(calls[[#This Row],[Date of Call]]), YEAR(calls[[#This Row],[Date of Call]])+1)</f>
        <v>2023</v>
      </c>
      <c r="M136" t="str">
        <f>TEXT(calls[[#This Row],[Date of Call]],"DDDD")</f>
        <v>الخميس</v>
      </c>
      <c r="N136" t="str" cm="1">
        <f t="array" ref="N136">_xlfn.IFS(calls[[#This Row],[Duration]]&lt;=10,"Under 10 mins", calls[[#This Row],[Duration]]&lt;=30, "10 to 30 mins", calls[[#This Row],[Duration]]&lt;=60, "30 to 60 mins", calls[[#This Row],[Duration]]&lt;=120, "1 to 2 hours", TRUE, "More than 2 hours")</f>
        <v>1 to 2 hours</v>
      </c>
      <c r="O136">
        <f>ROUND(calls[[#This Row],[Satisfaction Rating]],0)</f>
        <v>4</v>
      </c>
    </row>
    <row r="137" spans="2:15" x14ac:dyDescent="0.25">
      <c r="B137" t="s">
        <v>158</v>
      </c>
      <c r="C137" t="s">
        <v>4</v>
      </c>
      <c r="D137">
        <f>VLOOKUP(C137,customers[],3,0)</f>
        <v>42</v>
      </c>
      <c r="E137" t="str">
        <f>VLOOKUP(C137,customers[],2,0)</f>
        <v>Female</v>
      </c>
      <c r="F137" t="str">
        <f>VLOOKUP(C137,customers[],4,0)</f>
        <v>Cleveland</v>
      </c>
      <c r="G137">
        <v>138</v>
      </c>
      <c r="H137" s="17" t="s">
        <v>8</v>
      </c>
      <c r="I137" s="18">
        <v>44981</v>
      </c>
      <c r="J137">
        <v>35</v>
      </c>
      <c r="K137">
        <v>4.8</v>
      </c>
      <c r="L137">
        <f>IF(MONTH(calls[[#This Row],[Date of Call]])&lt;=6, YEAR(calls[[#This Row],[Date of Call]]), YEAR(calls[[#This Row],[Date of Call]])+1)</f>
        <v>2023</v>
      </c>
      <c r="M137" t="str">
        <f>TEXT(calls[[#This Row],[Date of Call]],"DDDD")</f>
        <v>الجمعة</v>
      </c>
      <c r="N137" t="str" cm="1">
        <f t="array" ref="N137">_xlfn.IFS(calls[[#This Row],[Duration]]&lt;=10,"Under 10 mins", calls[[#This Row],[Duration]]&lt;=30, "10 to 30 mins", calls[[#This Row],[Duration]]&lt;=60, "30 to 60 mins", calls[[#This Row],[Duration]]&lt;=120, "1 to 2 hours", TRUE, "More than 2 hours")</f>
        <v>More than 2 hours</v>
      </c>
      <c r="O137">
        <f>ROUND(calls[[#This Row],[Satisfaction Rating]],0)</f>
        <v>5</v>
      </c>
    </row>
    <row r="138" spans="2:15" x14ac:dyDescent="0.25">
      <c r="B138" t="s">
        <v>159</v>
      </c>
      <c r="C138" t="s">
        <v>20</v>
      </c>
      <c r="D138">
        <f>VLOOKUP(C138,customers[],3,0)</f>
        <v>38</v>
      </c>
      <c r="E138" t="str">
        <f>VLOOKUP(C138,customers[],2,0)</f>
        <v>Female</v>
      </c>
      <c r="F138" t="str">
        <f>VLOOKUP(C138,customers[],4,0)</f>
        <v>Columbus</v>
      </c>
      <c r="G138">
        <v>153</v>
      </c>
      <c r="H138" s="17" t="s">
        <v>9</v>
      </c>
      <c r="I138" s="18">
        <v>44981</v>
      </c>
      <c r="J138">
        <v>200</v>
      </c>
      <c r="K138">
        <v>2</v>
      </c>
      <c r="L138">
        <f>IF(MONTH(calls[[#This Row],[Date of Call]])&lt;=6, YEAR(calls[[#This Row],[Date of Call]]), YEAR(calls[[#This Row],[Date of Call]])+1)</f>
        <v>2023</v>
      </c>
      <c r="M138" t="str">
        <f>TEXT(calls[[#This Row],[Date of Call]],"DDDD")</f>
        <v>الجمعة</v>
      </c>
      <c r="N138" t="str" cm="1">
        <f t="array" ref="N138">_xlfn.IFS(calls[[#This Row],[Duration]]&lt;=10,"Under 10 mins", calls[[#This Row],[Duration]]&lt;=30, "10 to 30 mins", calls[[#This Row],[Duration]]&lt;=60, "30 to 60 mins", calls[[#This Row],[Duration]]&lt;=120, "1 to 2 hours", TRUE, "More than 2 hours")</f>
        <v>More than 2 hours</v>
      </c>
      <c r="O138">
        <f>ROUND(calls[[#This Row],[Satisfaction Rating]],0)</f>
        <v>2</v>
      </c>
    </row>
    <row r="139" spans="2:15" x14ac:dyDescent="0.25">
      <c r="B139" t="s">
        <v>160</v>
      </c>
      <c r="C139" t="s">
        <v>18</v>
      </c>
      <c r="D139">
        <f>VLOOKUP(C139,customers[],3,0)</f>
        <v>43</v>
      </c>
      <c r="E139" t="str">
        <f>VLOOKUP(C139,customers[],2,0)</f>
        <v>Female</v>
      </c>
      <c r="F139" t="str">
        <f>VLOOKUP(C139,customers[],4,0)</f>
        <v>Cleveland</v>
      </c>
      <c r="G139">
        <v>61</v>
      </c>
      <c r="H139" s="17" t="s">
        <v>5</v>
      </c>
      <c r="I139" s="18">
        <v>44982</v>
      </c>
      <c r="J139">
        <v>150</v>
      </c>
      <c r="K139">
        <v>4.5999999999999996</v>
      </c>
      <c r="L139">
        <f>IF(MONTH(calls[[#This Row],[Date of Call]])&lt;=6, YEAR(calls[[#This Row],[Date of Call]]), YEAR(calls[[#This Row],[Date of Call]])+1)</f>
        <v>2023</v>
      </c>
      <c r="M139" t="str">
        <f>TEXT(calls[[#This Row],[Date of Call]],"DDDD")</f>
        <v>السبت</v>
      </c>
      <c r="N139" t="str" cm="1">
        <f t="array" ref="N139">_xlfn.IFS(calls[[#This Row],[Duration]]&lt;=10,"Under 10 mins", calls[[#This Row],[Duration]]&lt;=30, "10 to 30 mins", calls[[#This Row],[Duration]]&lt;=60, "30 to 60 mins", calls[[#This Row],[Duration]]&lt;=120, "1 to 2 hours", TRUE, "More than 2 hours")</f>
        <v>1 to 2 hours</v>
      </c>
      <c r="O139">
        <f>ROUND(calls[[#This Row],[Satisfaction Rating]],0)</f>
        <v>5</v>
      </c>
    </row>
    <row r="140" spans="2:15" x14ac:dyDescent="0.25">
      <c r="B140" t="s">
        <v>161</v>
      </c>
      <c r="C140" t="s">
        <v>21</v>
      </c>
      <c r="D140">
        <f>VLOOKUP(C140,customers[],3,0)</f>
        <v>25</v>
      </c>
      <c r="E140" t="str">
        <f>VLOOKUP(C140,customers[],2,0)</f>
        <v>Female</v>
      </c>
      <c r="F140" t="str">
        <f>VLOOKUP(C140,customers[],4,0)</f>
        <v>Columbus</v>
      </c>
      <c r="G140">
        <v>62</v>
      </c>
      <c r="H140" s="17" t="s">
        <v>9</v>
      </c>
      <c r="I140" s="18">
        <v>44982</v>
      </c>
      <c r="J140">
        <v>21</v>
      </c>
      <c r="K140">
        <v>2.6</v>
      </c>
      <c r="L140">
        <f>IF(MONTH(calls[[#This Row],[Date of Call]])&lt;=6, YEAR(calls[[#This Row],[Date of Call]]), YEAR(calls[[#This Row],[Date of Call]])+1)</f>
        <v>2023</v>
      </c>
      <c r="M140" t="str">
        <f>TEXT(calls[[#This Row],[Date of Call]],"DDDD")</f>
        <v>السبت</v>
      </c>
      <c r="N140" t="str" cm="1">
        <f t="array" ref="N140">_xlfn.IFS(calls[[#This Row],[Duration]]&lt;=10,"Under 10 mins", calls[[#This Row],[Duration]]&lt;=30, "10 to 30 mins", calls[[#This Row],[Duration]]&lt;=60, "30 to 60 mins", calls[[#This Row],[Duration]]&lt;=120, "1 to 2 hours", TRUE, "More than 2 hours")</f>
        <v>1 to 2 hours</v>
      </c>
      <c r="O140">
        <f>ROUND(calls[[#This Row],[Satisfaction Rating]],0)</f>
        <v>3</v>
      </c>
    </row>
    <row r="141" spans="2:15" x14ac:dyDescent="0.25">
      <c r="B141" t="s">
        <v>162</v>
      </c>
      <c r="C141" t="s">
        <v>16</v>
      </c>
      <c r="D141">
        <f>VLOOKUP(C141,customers[],3,0)</f>
        <v>41</v>
      </c>
      <c r="E141" t="str">
        <f>VLOOKUP(C141,customers[],2,0)</f>
        <v>Male</v>
      </c>
      <c r="F141" t="str">
        <f>VLOOKUP(C141,customers[],4,0)</f>
        <v>Columbus</v>
      </c>
      <c r="G141">
        <v>151</v>
      </c>
      <c r="H141" s="17" t="s">
        <v>12</v>
      </c>
      <c r="I141" s="18">
        <v>44983</v>
      </c>
      <c r="J141">
        <v>46</v>
      </c>
      <c r="K141">
        <v>4.9000000000000004</v>
      </c>
      <c r="L141">
        <f>IF(MONTH(calls[[#This Row],[Date of Call]])&lt;=6, YEAR(calls[[#This Row],[Date of Call]]), YEAR(calls[[#This Row],[Date of Call]])+1)</f>
        <v>2023</v>
      </c>
      <c r="M141" t="str">
        <f>TEXT(calls[[#This Row],[Date of Call]],"DDDD")</f>
        <v>الأحد</v>
      </c>
      <c r="N141" t="str" cm="1">
        <f t="array" ref="N141">_xlfn.IFS(calls[[#This Row],[Duration]]&lt;=10,"Under 10 mins", calls[[#This Row],[Duration]]&lt;=30, "10 to 30 mins", calls[[#This Row],[Duration]]&lt;=60, "30 to 60 mins", calls[[#This Row],[Duration]]&lt;=120, "1 to 2 hours", TRUE, "More than 2 hours")</f>
        <v>More than 2 hours</v>
      </c>
      <c r="O141">
        <f>ROUND(calls[[#This Row],[Satisfaction Rating]],0)</f>
        <v>5</v>
      </c>
    </row>
    <row r="142" spans="2:15" x14ac:dyDescent="0.25">
      <c r="B142" t="s">
        <v>163</v>
      </c>
      <c r="C142" t="s">
        <v>15</v>
      </c>
      <c r="D142">
        <f>VLOOKUP(C142,customers[],3,0)</f>
        <v>28</v>
      </c>
      <c r="E142" t="str">
        <f>VLOOKUP(C142,customers[],2,0)</f>
        <v>Female</v>
      </c>
      <c r="F142" t="str">
        <f>VLOOKUP(C142,customers[],4,0)</f>
        <v>Cincinnati</v>
      </c>
      <c r="G142">
        <v>102</v>
      </c>
      <c r="H142" s="17" t="s">
        <v>10</v>
      </c>
      <c r="I142" s="18">
        <v>44983</v>
      </c>
      <c r="J142">
        <v>165</v>
      </c>
      <c r="K142">
        <v>2.7</v>
      </c>
      <c r="L142">
        <f>IF(MONTH(calls[[#This Row],[Date of Call]])&lt;=6, YEAR(calls[[#This Row],[Date of Call]]), YEAR(calls[[#This Row],[Date of Call]])+1)</f>
        <v>2023</v>
      </c>
      <c r="M142" t="str">
        <f>TEXT(calls[[#This Row],[Date of Call]],"DDDD")</f>
        <v>الأحد</v>
      </c>
      <c r="N142" t="str" cm="1">
        <f t="array" ref="N142">_xlfn.IFS(calls[[#This Row],[Duration]]&lt;=10,"Under 10 mins", calls[[#This Row],[Duration]]&lt;=30, "10 to 30 mins", calls[[#This Row],[Duration]]&lt;=60, "30 to 60 mins", calls[[#This Row],[Duration]]&lt;=120, "1 to 2 hours", TRUE, "More than 2 hours")</f>
        <v>1 to 2 hours</v>
      </c>
      <c r="O142">
        <f>ROUND(calls[[#This Row],[Satisfaction Rating]],0)</f>
        <v>3</v>
      </c>
    </row>
    <row r="143" spans="2:15" x14ac:dyDescent="0.25">
      <c r="B143" t="s">
        <v>164</v>
      </c>
      <c r="C143" t="s">
        <v>6</v>
      </c>
      <c r="D143">
        <f>VLOOKUP(C143,customers[],3,0)</f>
        <v>23</v>
      </c>
      <c r="E143" t="str">
        <f>VLOOKUP(C143,customers[],2,0)</f>
        <v>Male</v>
      </c>
      <c r="F143" t="str">
        <f>VLOOKUP(C143,customers[],4,0)</f>
        <v>Columbus</v>
      </c>
      <c r="G143">
        <v>64</v>
      </c>
      <c r="H143" s="17" t="s">
        <v>9</v>
      </c>
      <c r="I143" s="18">
        <v>44983</v>
      </c>
      <c r="J143">
        <v>84</v>
      </c>
      <c r="K143">
        <v>4.0999999999999996</v>
      </c>
      <c r="L143">
        <f>IF(MONTH(calls[[#This Row],[Date of Call]])&lt;=6, YEAR(calls[[#This Row],[Date of Call]]), YEAR(calls[[#This Row],[Date of Call]])+1)</f>
        <v>2023</v>
      </c>
      <c r="M143" t="str">
        <f>TEXT(calls[[#This Row],[Date of Call]],"DDDD")</f>
        <v>الأحد</v>
      </c>
      <c r="N143" t="str" cm="1">
        <f t="array" ref="N143">_xlfn.IFS(calls[[#This Row],[Duration]]&lt;=10,"Under 10 mins", calls[[#This Row],[Duration]]&lt;=30, "10 to 30 mins", calls[[#This Row],[Duration]]&lt;=60, "30 to 60 mins", calls[[#This Row],[Duration]]&lt;=120, "1 to 2 hours", TRUE, "More than 2 hours")</f>
        <v>1 to 2 hours</v>
      </c>
      <c r="O143">
        <f>ROUND(calls[[#This Row],[Satisfaction Rating]],0)</f>
        <v>4</v>
      </c>
    </row>
    <row r="144" spans="2:15" x14ac:dyDescent="0.25">
      <c r="B144" t="s">
        <v>165</v>
      </c>
      <c r="C144" t="s">
        <v>11</v>
      </c>
      <c r="D144">
        <f>VLOOKUP(C144,customers[],3,0)</f>
        <v>36</v>
      </c>
      <c r="E144" t="str">
        <f>VLOOKUP(C144,customers[],2,0)</f>
        <v>Male</v>
      </c>
      <c r="F144" t="str">
        <f>VLOOKUP(C144,customers[],4,0)</f>
        <v>Cincinnati</v>
      </c>
      <c r="G144">
        <v>6</v>
      </c>
      <c r="H144" s="17" t="s">
        <v>10</v>
      </c>
      <c r="I144" s="18">
        <v>44984</v>
      </c>
      <c r="J144">
        <v>102</v>
      </c>
      <c r="K144">
        <v>4.4000000000000004</v>
      </c>
      <c r="L144">
        <f>IF(MONTH(calls[[#This Row],[Date of Call]])&lt;=6, YEAR(calls[[#This Row],[Date of Call]]), YEAR(calls[[#This Row],[Date of Call]])+1)</f>
        <v>2023</v>
      </c>
      <c r="M144" t="str">
        <f>TEXT(calls[[#This Row],[Date of Call]],"DDDD")</f>
        <v>الإثنين</v>
      </c>
      <c r="N144" t="str" cm="1">
        <f t="array" ref="N144">_xlfn.IFS(calls[[#This Row],[Duration]]&lt;=10,"Under 10 mins", calls[[#This Row],[Duration]]&lt;=30, "10 to 30 mins", calls[[#This Row],[Duration]]&lt;=60, "30 to 60 mins", calls[[#This Row],[Duration]]&lt;=120, "1 to 2 hours", TRUE, "More than 2 hours")</f>
        <v>Under 10 mins</v>
      </c>
      <c r="O144">
        <f>ROUND(calls[[#This Row],[Satisfaction Rating]],0)</f>
        <v>4</v>
      </c>
    </row>
    <row r="145" spans="2:15" x14ac:dyDescent="0.25">
      <c r="B145" t="s">
        <v>166</v>
      </c>
      <c r="C145" t="s">
        <v>6</v>
      </c>
      <c r="D145">
        <f>VLOOKUP(C145,customers[],3,0)</f>
        <v>23</v>
      </c>
      <c r="E145" t="str">
        <f>VLOOKUP(C145,customers[],2,0)</f>
        <v>Male</v>
      </c>
      <c r="F145" t="str">
        <f>VLOOKUP(C145,customers[],4,0)</f>
        <v>Columbus</v>
      </c>
      <c r="G145">
        <v>129</v>
      </c>
      <c r="H145" s="17" t="s">
        <v>9</v>
      </c>
      <c r="I145" s="18">
        <v>44984</v>
      </c>
      <c r="J145">
        <v>180</v>
      </c>
      <c r="K145">
        <v>4.8</v>
      </c>
      <c r="L145">
        <f>IF(MONTH(calls[[#This Row],[Date of Call]])&lt;=6, YEAR(calls[[#This Row],[Date of Call]]), YEAR(calls[[#This Row],[Date of Call]])+1)</f>
        <v>2023</v>
      </c>
      <c r="M145" t="str">
        <f>TEXT(calls[[#This Row],[Date of Call]],"DDDD")</f>
        <v>الإثنين</v>
      </c>
      <c r="N145" t="str" cm="1">
        <f t="array" ref="N145">_xlfn.IFS(calls[[#This Row],[Duration]]&lt;=10,"Under 10 mins", calls[[#This Row],[Duration]]&lt;=30, "10 to 30 mins", calls[[#This Row],[Duration]]&lt;=60, "30 to 60 mins", calls[[#This Row],[Duration]]&lt;=120, "1 to 2 hours", TRUE, "More than 2 hours")</f>
        <v>More than 2 hours</v>
      </c>
      <c r="O145">
        <f>ROUND(calls[[#This Row],[Satisfaction Rating]],0)</f>
        <v>5</v>
      </c>
    </row>
    <row r="146" spans="2:15" x14ac:dyDescent="0.25">
      <c r="B146" t="s">
        <v>167</v>
      </c>
      <c r="C146" t="s">
        <v>21</v>
      </c>
      <c r="D146">
        <f>VLOOKUP(C146,customers[],3,0)</f>
        <v>25</v>
      </c>
      <c r="E146" t="str">
        <f>VLOOKUP(C146,customers[],2,0)</f>
        <v>Female</v>
      </c>
      <c r="F146" t="str">
        <f>VLOOKUP(C146,customers[],4,0)</f>
        <v>Columbus</v>
      </c>
      <c r="G146">
        <v>42</v>
      </c>
      <c r="H146" s="17" t="s">
        <v>12</v>
      </c>
      <c r="I146" s="18">
        <v>44985</v>
      </c>
      <c r="J146">
        <v>111</v>
      </c>
      <c r="K146">
        <v>3</v>
      </c>
      <c r="L146">
        <f>IF(MONTH(calls[[#This Row],[Date of Call]])&lt;=6, YEAR(calls[[#This Row],[Date of Call]]), YEAR(calls[[#This Row],[Date of Call]])+1)</f>
        <v>2023</v>
      </c>
      <c r="M146" t="str">
        <f>TEXT(calls[[#This Row],[Date of Call]],"DDDD")</f>
        <v>الثلاثاء</v>
      </c>
      <c r="N146" t="str" cm="1">
        <f t="array" ref="N146">_xlfn.IFS(calls[[#This Row],[Duration]]&lt;=10,"Under 10 mins", calls[[#This Row],[Duration]]&lt;=30, "10 to 30 mins", calls[[#This Row],[Duration]]&lt;=60, "30 to 60 mins", calls[[#This Row],[Duration]]&lt;=120, "1 to 2 hours", TRUE, "More than 2 hours")</f>
        <v>30 to 60 mins</v>
      </c>
      <c r="O146">
        <f>ROUND(calls[[#This Row],[Satisfaction Rating]],0)</f>
        <v>3</v>
      </c>
    </row>
    <row r="147" spans="2:15" x14ac:dyDescent="0.25">
      <c r="B147" t="s">
        <v>168</v>
      </c>
      <c r="C147" t="s">
        <v>21</v>
      </c>
      <c r="D147">
        <f>VLOOKUP(C147,customers[],3,0)</f>
        <v>25</v>
      </c>
      <c r="E147" t="str">
        <f>VLOOKUP(C147,customers[],2,0)</f>
        <v>Female</v>
      </c>
      <c r="F147" t="str">
        <f>VLOOKUP(C147,customers[],4,0)</f>
        <v>Columbus</v>
      </c>
      <c r="G147">
        <v>71</v>
      </c>
      <c r="H147" s="17" t="s">
        <v>5</v>
      </c>
      <c r="I147" s="18">
        <v>44985</v>
      </c>
      <c r="J147">
        <v>104</v>
      </c>
      <c r="K147">
        <v>3.1</v>
      </c>
      <c r="L147">
        <f>IF(MONTH(calls[[#This Row],[Date of Call]])&lt;=6, YEAR(calls[[#This Row],[Date of Call]]), YEAR(calls[[#This Row],[Date of Call]])+1)</f>
        <v>2023</v>
      </c>
      <c r="M147" t="str">
        <f>TEXT(calls[[#This Row],[Date of Call]],"DDDD")</f>
        <v>الثلاثاء</v>
      </c>
      <c r="N147" t="str" cm="1">
        <f t="array" ref="N147">_xlfn.IFS(calls[[#This Row],[Duration]]&lt;=10,"Under 10 mins", calls[[#This Row],[Duration]]&lt;=30, "10 to 30 mins", calls[[#This Row],[Duration]]&lt;=60, "30 to 60 mins", calls[[#This Row],[Duration]]&lt;=120, "1 to 2 hours", TRUE, "More than 2 hours")</f>
        <v>1 to 2 hours</v>
      </c>
      <c r="O147">
        <f>ROUND(calls[[#This Row],[Satisfaction Rating]],0)</f>
        <v>3</v>
      </c>
    </row>
    <row r="148" spans="2:15" x14ac:dyDescent="0.25">
      <c r="B148" t="s">
        <v>169</v>
      </c>
      <c r="C148" t="s">
        <v>22</v>
      </c>
      <c r="D148">
        <f>VLOOKUP(C148,customers[],3,0)</f>
        <v>37</v>
      </c>
      <c r="E148" t="str">
        <f>VLOOKUP(C148,customers[],2,0)</f>
        <v>Male</v>
      </c>
      <c r="F148" t="str">
        <f>VLOOKUP(C148,customers[],4,0)</f>
        <v>Columbus</v>
      </c>
      <c r="G148">
        <v>53</v>
      </c>
      <c r="H148" s="17" t="s">
        <v>10</v>
      </c>
      <c r="I148" s="18">
        <v>44985</v>
      </c>
      <c r="J148">
        <v>80</v>
      </c>
      <c r="K148">
        <v>2.6</v>
      </c>
      <c r="L148">
        <f>IF(MONTH(calls[[#This Row],[Date of Call]])&lt;=6, YEAR(calls[[#This Row],[Date of Call]]), YEAR(calls[[#This Row],[Date of Call]])+1)</f>
        <v>2023</v>
      </c>
      <c r="M148" t="str">
        <f>TEXT(calls[[#This Row],[Date of Call]],"DDDD")</f>
        <v>الثلاثاء</v>
      </c>
      <c r="N148" t="str" cm="1">
        <f t="array" ref="N148">_xlfn.IFS(calls[[#This Row],[Duration]]&lt;=10,"Under 10 mins", calls[[#This Row],[Duration]]&lt;=30, "10 to 30 mins", calls[[#This Row],[Duration]]&lt;=60, "30 to 60 mins", calls[[#This Row],[Duration]]&lt;=120, "1 to 2 hours", TRUE, "More than 2 hours")</f>
        <v>30 to 60 mins</v>
      </c>
      <c r="O148">
        <f>ROUND(calls[[#This Row],[Satisfaction Rating]],0)</f>
        <v>3</v>
      </c>
    </row>
    <row r="149" spans="2:15" x14ac:dyDescent="0.25">
      <c r="B149" t="s">
        <v>170</v>
      </c>
      <c r="C149" t="s">
        <v>7</v>
      </c>
      <c r="D149">
        <f>VLOOKUP(C149,customers[],3,0)</f>
        <v>30</v>
      </c>
      <c r="E149" t="str">
        <f>VLOOKUP(C149,customers[],2,0)</f>
        <v>Female</v>
      </c>
      <c r="F149" t="str">
        <f>VLOOKUP(C149,customers[],4,0)</f>
        <v>Cincinnati</v>
      </c>
      <c r="G149">
        <v>155</v>
      </c>
      <c r="H149" s="17" t="s">
        <v>5</v>
      </c>
      <c r="I149" s="18">
        <v>44986</v>
      </c>
      <c r="J149">
        <v>132</v>
      </c>
      <c r="K149">
        <v>4.5999999999999996</v>
      </c>
      <c r="L149">
        <f>IF(MONTH(calls[[#This Row],[Date of Call]])&lt;=6, YEAR(calls[[#This Row],[Date of Call]]), YEAR(calls[[#This Row],[Date of Call]])+1)</f>
        <v>2023</v>
      </c>
      <c r="M149" t="str">
        <f>TEXT(calls[[#This Row],[Date of Call]],"DDDD")</f>
        <v>الأربعاء</v>
      </c>
      <c r="N149" t="str" cm="1">
        <f t="array" ref="N149">_xlfn.IFS(calls[[#This Row],[Duration]]&lt;=10,"Under 10 mins", calls[[#This Row],[Duration]]&lt;=30, "10 to 30 mins", calls[[#This Row],[Duration]]&lt;=60, "30 to 60 mins", calls[[#This Row],[Duration]]&lt;=120, "1 to 2 hours", TRUE, "More than 2 hours")</f>
        <v>More than 2 hours</v>
      </c>
      <c r="O149">
        <f>ROUND(calls[[#This Row],[Satisfaction Rating]],0)</f>
        <v>5</v>
      </c>
    </row>
    <row r="150" spans="2:15" x14ac:dyDescent="0.25">
      <c r="B150" t="s">
        <v>171</v>
      </c>
      <c r="C150" t="s">
        <v>7</v>
      </c>
      <c r="D150">
        <f>VLOOKUP(C150,customers[],3,0)</f>
        <v>30</v>
      </c>
      <c r="E150" t="str">
        <f>VLOOKUP(C150,customers[],2,0)</f>
        <v>Female</v>
      </c>
      <c r="F150" t="str">
        <f>VLOOKUP(C150,customers[],4,0)</f>
        <v>Cincinnati</v>
      </c>
      <c r="G150">
        <v>90</v>
      </c>
      <c r="H150" s="17" t="s">
        <v>12</v>
      </c>
      <c r="I150" s="18">
        <v>44986</v>
      </c>
      <c r="J150">
        <v>170</v>
      </c>
      <c r="K150">
        <v>3.7</v>
      </c>
      <c r="L150">
        <f>IF(MONTH(calls[[#This Row],[Date of Call]])&lt;=6, YEAR(calls[[#This Row],[Date of Call]]), YEAR(calls[[#This Row],[Date of Call]])+1)</f>
        <v>2023</v>
      </c>
      <c r="M150" t="str">
        <f>TEXT(calls[[#This Row],[Date of Call]],"DDDD")</f>
        <v>الأربعاء</v>
      </c>
      <c r="N150" t="str" cm="1">
        <f t="array" ref="N150">_xlfn.IFS(calls[[#This Row],[Duration]]&lt;=10,"Under 10 mins", calls[[#This Row],[Duration]]&lt;=30, "10 to 30 mins", calls[[#This Row],[Duration]]&lt;=60, "30 to 60 mins", calls[[#This Row],[Duration]]&lt;=120, "1 to 2 hours", TRUE, "More than 2 hours")</f>
        <v>1 to 2 hours</v>
      </c>
      <c r="O150">
        <f>ROUND(calls[[#This Row],[Satisfaction Rating]],0)</f>
        <v>4</v>
      </c>
    </row>
    <row r="151" spans="2:15" x14ac:dyDescent="0.25">
      <c r="B151" t="s">
        <v>172</v>
      </c>
      <c r="C151" t="s">
        <v>6</v>
      </c>
      <c r="D151">
        <f>VLOOKUP(C151,customers[],3,0)</f>
        <v>23</v>
      </c>
      <c r="E151" t="str">
        <f>VLOOKUP(C151,customers[],2,0)</f>
        <v>Male</v>
      </c>
      <c r="F151" t="str">
        <f>VLOOKUP(C151,customers[],4,0)</f>
        <v>Columbus</v>
      </c>
      <c r="G151">
        <v>166</v>
      </c>
      <c r="H151" s="17" t="s">
        <v>8</v>
      </c>
      <c r="I151" s="18">
        <v>44986</v>
      </c>
      <c r="J151">
        <v>36</v>
      </c>
      <c r="K151">
        <v>3.8</v>
      </c>
      <c r="L151">
        <f>IF(MONTH(calls[[#This Row],[Date of Call]])&lt;=6, YEAR(calls[[#This Row],[Date of Call]]), YEAR(calls[[#This Row],[Date of Call]])+1)</f>
        <v>2023</v>
      </c>
      <c r="M151" t="str">
        <f>TEXT(calls[[#This Row],[Date of Call]],"DDDD")</f>
        <v>الأربعاء</v>
      </c>
      <c r="N151" t="str" cm="1">
        <f t="array" ref="N151">_xlfn.IFS(calls[[#This Row],[Duration]]&lt;=10,"Under 10 mins", calls[[#This Row],[Duration]]&lt;=30, "10 to 30 mins", calls[[#This Row],[Duration]]&lt;=60, "30 to 60 mins", calls[[#This Row],[Duration]]&lt;=120, "1 to 2 hours", TRUE, "More than 2 hours")</f>
        <v>More than 2 hours</v>
      </c>
      <c r="O151">
        <f>ROUND(calls[[#This Row],[Satisfaction Rating]],0)</f>
        <v>4</v>
      </c>
    </row>
    <row r="152" spans="2:15" x14ac:dyDescent="0.25">
      <c r="B152" t="s">
        <v>173</v>
      </c>
      <c r="C152" t="s">
        <v>23</v>
      </c>
      <c r="D152">
        <f>VLOOKUP(C152,customers[],3,0)</f>
        <v>31</v>
      </c>
      <c r="E152" t="str">
        <f>VLOOKUP(C152,customers[],2,0)</f>
        <v>Male</v>
      </c>
      <c r="F152" t="str">
        <f>VLOOKUP(C152,customers[],4,0)</f>
        <v>Cleveland</v>
      </c>
      <c r="G152">
        <v>89</v>
      </c>
      <c r="H152" s="17" t="s">
        <v>5</v>
      </c>
      <c r="I152" s="18">
        <v>44986</v>
      </c>
      <c r="J152">
        <v>126</v>
      </c>
      <c r="K152">
        <v>3.6</v>
      </c>
      <c r="L152">
        <f>IF(MONTH(calls[[#This Row],[Date of Call]])&lt;=6, YEAR(calls[[#This Row],[Date of Call]]), YEAR(calls[[#This Row],[Date of Call]])+1)</f>
        <v>2023</v>
      </c>
      <c r="M152" t="str">
        <f>TEXT(calls[[#This Row],[Date of Call]],"DDDD")</f>
        <v>الأربعاء</v>
      </c>
      <c r="N152" t="str" cm="1">
        <f t="array" ref="N152">_xlfn.IFS(calls[[#This Row],[Duration]]&lt;=10,"Under 10 mins", calls[[#This Row],[Duration]]&lt;=30, "10 to 30 mins", calls[[#This Row],[Duration]]&lt;=60, "30 to 60 mins", calls[[#This Row],[Duration]]&lt;=120, "1 to 2 hours", TRUE, "More than 2 hours")</f>
        <v>1 to 2 hours</v>
      </c>
      <c r="O152">
        <f>ROUND(calls[[#This Row],[Satisfaction Rating]],0)</f>
        <v>4</v>
      </c>
    </row>
    <row r="153" spans="2:15" x14ac:dyDescent="0.25">
      <c r="B153" t="s">
        <v>174</v>
      </c>
      <c r="C153" t="s">
        <v>18</v>
      </c>
      <c r="D153">
        <f>VLOOKUP(C153,customers[],3,0)</f>
        <v>43</v>
      </c>
      <c r="E153" t="str">
        <f>VLOOKUP(C153,customers[],2,0)</f>
        <v>Female</v>
      </c>
      <c r="F153" t="str">
        <f>VLOOKUP(C153,customers[],4,0)</f>
        <v>Cleveland</v>
      </c>
      <c r="G153">
        <v>152</v>
      </c>
      <c r="H153" s="17" t="s">
        <v>10</v>
      </c>
      <c r="I153" s="18">
        <v>44986</v>
      </c>
      <c r="J153">
        <v>215</v>
      </c>
      <c r="K153">
        <v>4.4000000000000004</v>
      </c>
      <c r="L153">
        <f>IF(MONTH(calls[[#This Row],[Date of Call]])&lt;=6, YEAR(calls[[#This Row],[Date of Call]]), YEAR(calls[[#This Row],[Date of Call]])+1)</f>
        <v>2023</v>
      </c>
      <c r="M153" t="str">
        <f>TEXT(calls[[#This Row],[Date of Call]],"DDDD")</f>
        <v>الأربعاء</v>
      </c>
      <c r="N153" t="str" cm="1">
        <f t="array" ref="N153">_xlfn.IFS(calls[[#This Row],[Duration]]&lt;=10,"Under 10 mins", calls[[#This Row],[Duration]]&lt;=30, "10 to 30 mins", calls[[#This Row],[Duration]]&lt;=60, "30 to 60 mins", calls[[#This Row],[Duration]]&lt;=120, "1 to 2 hours", TRUE, "More than 2 hours")</f>
        <v>More than 2 hours</v>
      </c>
      <c r="O153">
        <f>ROUND(calls[[#This Row],[Satisfaction Rating]],0)</f>
        <v>4</v>
      </c>
    </row>
    <row r="154" spans="2:15" x14ac:dyDescent="0.25">
      <c r="B154" t="s">
        <v>175</v>
      </c>
      <c r="C154" t="s">
        <v>23</v>
      </c>
      <c r="D154">
        <f>VLOOKUP(C154,customers[],3,0)</f>
        <v>31</v>
      </c>
      <c r="E154" t="str">
        <f>VLOOKUP(C154,customers[],2,0)</f>
        <v>Male</v>
      </c>
      <c r="F154" t="str">
        <f>VLOOKUP(C154,customers[],4,0)</f>
        <v>Cleveland</v>
      </c>
      <c r="G154">
        <v>137</v>
      </c>
      <c r="H154" s="17" t="s">
        <v>12</v>
      </c>
      <c r="I154" s="18">
        <v>44986</v>
      </c>
      <c r="J154">
        <v>114</v>
      </c>
      <c r="K154">
        <v>3.2</v>
      </c>
      <c r="L154">
        <f>IF(MONTH(calls[[#This Row],[Date of Call]])&lt;=6, YEAR(calls[[#This Row],[Date of Call]]), YEAR(calls[[#This Row],[Date of Call]])+1)</f>
        <v>2023</v>
      </c>
      <c r="M154" t="str">
        <f>TEXT(calls[[#This Row],[Date of Call]],"DDDD")</f>
        <v>الأربعاء</v>
      </c>
      <c r="N154" t="str" cm="1">
        <f t="array" ref="N154">_xlfn.IFS(calls[[#This Row],[Duration]]&lt;=10,"Under 10 mins", calls[[#This Row],[Duration]]&lt;=30, "10 to 30 mins", calls[[#This Row],[Duration]]&lt;=60, "30 to 60 mins", calls[[#This Row],[Duration]]&lt;=120, "1 to 2 hours", TRUE, "More than 2 hours")</f>
        <v>More than 2 hours</v>
      </c>
      <c r="O154">
        <f>ROUND(calls[[#This Row],[Satisfaction Rating]],0)</f>
        <v>3</v>
      </c>
    </row>
    <row r="155" spans="2:15" x14ac:dyDescent="0.25">
      <c r="B155" t="s">
        <v>176</v>
      </c>
      <c r="C155" t="s">
        <v>23</v>
      </c>
      <c r="D155">
        <f>VLOOKUP(C155,customers[],3,0)</f>
        <v>31</v>
      </c>
      <c r="E155" t="str">
        <f>VLOOKUP(C155,customers[],2,0)</f>
        <v>Male</v>
      </c>
      <c r="F155" t="str">
        <f>VLOOKUP(C155,customers[],4,0)</f>
        <v>Cleveland</v>
      </c>
      <c r="G155">
        <v>43</v>
      </c>
      <c r="H155" s="17" t="s">
        <v>12</v>
      </c>
      <c r="I155" s="18">
        <v>44986</v>
      </c>
      <c r="J155">
        <v>99</v>
      </c>
      <c r="K155">
        <v>4.7</v>
      </c>
      <c r="L155">
        <f>IF(MONTH(calls[[#This Row],[Date of Call]])&lt;=6, YEAR(calls[[#This Row],[Date of Call]]), YEAR(calls[[#This Row],[Date of Call]])+1)</f>
        <v>2023</v>
      </c>
      <c r="M155" t="str">
        <f>TEXT(calls[[#This Row],[Date of Call]],"DDDD")</f>
        <v>الأربعاء</v>
      </c>
      <c r="N155" t="str" cm="1">
        <f t="array" ref="N155">_xlfn.IFS(calls[[#This Row],[Duration]]&lt;=10,"Under 10 mins", calls[[#This Row],[Duration]]&lt;=30, "10 to 30 mins", calls[[#This Row],[Duration]]&lt;=60, "30 to 60 mins", calls[[#This Row],[Duration]]&lt;=120, "1 to 2 hours", TRUE, "More than 2 hours")</f>
        <v>30 to 60 mins</v>
      </c>
      <c r="O155">
        <f>ROUND(calls[[#This Row],[Satisfaction Rating]],0)</f>
        <v>5</v>
      </c>
    </row>
    <row r="156" spans="2:15" x14ac:dyDescent="0.25">
      <c r="B156" t="s">
        <v>177</v>
      </c>
      <c r="C156" t="s">
        <v>17</v>
      </c>
      <c r="D156">
        <f>VLOOKUP(C156,customers[],3,0)</f>
        <v>30</v>
      </c>
      <c r="E156" t="str">
        <f>VLOOKUP(C156,customers[],2,0)</f>
        <v>Female</v>
      </c>
      <c r="F156" t="str">
        <f>VLOOKUP(C156,customers[],4,0)</f>
        <v>Cleveland</v>
      </c>
      <c r="G156">
        <v>114</v>
      </c>
      <c r="H156" s="17" t="s">
        <v>12</v>
      </c>
      <c r="I156" s="18">
        <v>44987</v>
      </c>
      <c r="J156">
        <v>23</v>
      </c>
      <c r="K156">
        <v>4.8</v>
      </c>
      <c r="L156">
        <f>IF(MONTH(calls[[#This Row],[Date of Call]])&lt;=6, YEAR(calls[[#This Row],[Date of Call]]), YEAR(calls[[#This Row],[Date of Call]])+1)</f>
        <v>2023</v>
      </c>
      <c r="M156" t="str">
        <f>TEXT(calls[[#This Row],[Date of Call]],"DDDD")</f>
        <v>الخميس</v>
      </c>
      <c r="N156" t="str" cm="1">
        <f t="array" ref="N156">_xlfn.IFS(calls[[#This Row],[Duration]]&lt;=10,"Under 10 mins", calls[[#This Row],[Duration]]&lt;=30, "10 to 30 mins", calls[[#This Row],[Duration]]&lt;=60, "30 to 60 mins", calls[[#This Row],[Duration]]&lt;=120, "1 to 2 hours", TRUE, "More than 2 hours")</f>
        <v>1 to 2 hours</v>
      </c>
      <c r="O156">
        <f>ROUND(calls[[#This Row],[Satisfaction Rating]],0)</f>
        <v>5</v>
      </c>
    </row>
    <row r="157" spans="2:15" x14ac:dyDescent="0.25">
      <c r="B157" t="s">
        <v>178</v>
      </c>
      <c r="C157" t="s">
        <v>20</v>
      </c>
      <c r="D157">
        <f>VLOOKUP(C157,customers[],3,0)</f>
        <v>38</v>
      </c>
      <c r="E157" t="str">
        <f>VLOOKUP(C157,customers[],2,0)</f>
        <v>Female</v>
      </c>
      <c r="F157" t="str">
        <f>VLOOKUP(C157,customers[],4,0)</f>
        <v>Columbus</v>
      </c>
      <c r="G157">
        <v>103</v>
      </c>
      <c r="H157" s="17" t="s">
        <v>5</v>
      </c>
      <c r="I157" s="18">
        <v>44987</v>
      </c>
      <c r="J157">
        <v>75</v>
      </c>
      <c r="K157">
        <v>2.7</v>
      </c>
      <c r="L157">
        <f>IF(MONTH(calls[[#This Row],[Date of Call]])&lt;=6, YEAR(calls[[#This Row],[Date of Call]]), YEAR(calls[[#This Row],[Date of Call]])+1)</f>
        <v>2023</v>
      </c>
      <c r="M157" t="str">
        <f>TEXT(calls[[#This Row],[Date of Call]],"DDDD")</f>
        <v>الخميس</v>
      </c>
      <c r="N157" t="str" cm="1">
        <f t="array" ref="N157">_xlfn.IFS(calls[[#This Row],[Duration]]&lt;=10,"Under 10 mins", calls[[#This Row],[Duration]]&lt;=30, "10 to 30 mins", calls[[#This Row],[Duration]]&lt;=60, "30 to 60 mins", calls[[#This Row],[Duration]]&lt;=120, "1 to 2 hours", TRUE, "More than 2 hours")</f>
        <v>1 to 2 hours</v>
      </c>
      <c r="O157">
        <f>ROUND(calls[[#This Row],[Satisfaction Rating]],0)</f>
        <v>3</v>
      </c>
    </row>
    <row r="158" spans="2:15" x14ac:dyDescent="0.25">
      <c r="B158" t="s">
        <v>179</v>
      </c>
      <c r="C158" t="s">
        <v>23</v>
      </c>
      <c r="D158">
        <f>VLOOKUP(C158,customers[],3,0)</f>
        <v>31</v>
      </c>
      <c r="E158" t="str">
        <f>VLOOKUP(C158,customers[],2,0)</f>
        <v>Male</v>
      </c>
      <c r="F158" t="str">
        <f>VLOOKUP(C158,customers[],4,0)</f>
        <v>Cleveland</v>
      </c>
      <c r="G158">
        <v>98</v>
      </c>
      <c r="H158" s="17" t="s">
        <v>10</v>
      </c>
      <c r="I158" s="18">
        <v>44987</v>
      </c>
      <c r="J158">
        <v>100</v>
      </c>
      <c r="K158">
        <v>3.8</v>
      </c>
      <c r="L158">
        <f>IF(MONTH(calls[[#This Row],[Date of Call]])&lt;=6, YEAR(calls[[#This Row],[Date of Call]]), YEAR(calls[[#This Row],[Date of Call]])+1)</f>
        <v>2023</v>
      </c>
      <c r="M158" t="str">
        <f>TEXT(calls[[#This Row],[Date of Call]],"DDDD")</f>
        <v>الخميس</v>
      </c>
      <c r="N158" t="str" cm="1">
        <f t="array" ref="N158">_xlfn.IFS(calls[[#This Row],[Duration]]&lt;=10,"Under 10 mins", calls[[#This Row],[Duration]]&lt;=30, "10 to 30 mins", calls[[#This Row],[Duration]]&lt;=60, "30 to 60 mins", calls[[#This Row],[Duration]]&lt;=120, "1 to 2 hours", TRUE, "More than 2 hours")</f>
        <v>1 to 2 hours</v>
      </c>
      <c r="O158">
        <f>ROUND(calls[[#This Row],[Satisfaction Rating]],0)</f>
        <v>4</v>
      </c>
    </row>
    <row r="159" spans="2:15" x14ac:dyDescent="0.25">
      <c r="B159" t="s">
        <v>180</v>
      </c>
      <c r="C159" t="s">
        <v>6</v>
      </c>
      <c r="D159">
        <f>VLOOKUP(C159,customers[],3,0)</f>
        <v>23</v>
      </c>
      <c r="E159" t="str">
        <f>VLOOKUP(C159,customers[],2,0)</f>
        <v>Male</v>
      </c>
      <c r="F159" t="str">
        <f>VLOOKUP(C159,customers[],4,0)</f>
        <v>Columbus</v>
      </c>
      <c r="G159">
        <v>106</v>
      </c>
      <c r="H159" s="17" t="s">
        <v>8</v>
      </c>
      <c r="I159" s="18">
        <v>44987</v>
      </c>
      <c r="J159">
        <v>108</v>
      </c>
      <c r="K159">
        <v>4.3</v>
      </c>
      <c r="L159">
        <f>IF(MONTH(calls[[#This Row],[Date of Call]])&lt;=6, YEAR(calls[[#This Row],[Date of Call]]), YEAR(calls[[#This Row],[Date of Call]])+1)</f>
        <v>2023</v>
      </c>
      <c r="M159" t="str">
        <f>TEXT(calls[[#This Row],[Date of Call]],"DDDD")</f>
        <v>الخميس</v>
      </c>
      <c r="N159" t="str" cm="1">
        <f t="array" ref="N159">_xlfn.IFS(calls[[#This Row],[Duration]]&lt;=10,"Under 10 mins", calls[[#This Row],[Duration]]&lt;=30, "10 to 30 mins", calls[[#This Row],[Duration]]&lt;=60, "30 to 60 mins", calls[[#This Row],[Duration]]&lt;=120, "1 to 2 hours", TRUE, "More than 2 hours")</f>
        <v>1 to 2 hours</v>
      </c>
      <c r="O159">
        <f>ROUND(calls[[#This Row],[Satisfaction Rating]],0)</f>
        <v>4</v>
      </c>
    </row>
    <row r="160" spans="2:15" x14ac:dyDescent="0.25">
      <c r="B160" t="s">
        <v>181</v>
      </c>
      <c r="C160" t="s">
        <v>11</v>
      </c>
      <c r="D160">
        <f>VLOOKUP(C160,customers[],3,0)</f>
        <v>36</v>
      </c>
      <c r="E160" t="str">
        <f>VLOOKUP(C160,customers[],2,0)</f>
        <v>Male</v>
      </c>
      <c r="F160" t="str">
        <f>VLOOKUP(C160,customers[],4,0)</f>
        <v>Cincinnati</v>
      </c>
      <c r="G160">
        <v>96</v>
      </c>
      <c r="H160" s="17" t="s">
        <v>8</v>
      </c>
      <c r="I160" s="18">
        <v>44987</v>
      </c>
      <c r="J160">
        <v>108</v>
      </c>
      <c r="K160">
        <v>5</v>
      </c>
      <c r="L160">
        <f>IF(MONTH(calls[[#This Row],[Date of Call]])&lt;=6, YEAR(calls[[#This Row],[Date of Call]]), YEAR(calls[[#This Row],[Date of Call]])+1)</f>
        <v>2023</v>
      </c>
      <c r="M160" t="str">
        <f>TEXT(calls[[#This Row],[Date of Call]],"DDDD")</f>
        <v>الخميس</v>
      </c>
      <c r="N160" t="str" cm="1">
        <f t="array" ref="N160">_xlfn.IFS(calls[[#This Row],[Duration]]&lt;=10,"Under 10 mins", calls[[#This Row],[Duration]]&lt;=30, "10 to 30 mins", calls[[#This Row],[Duration]]&lt;=60, "30 to 60 mins", calls[[#This Row],[Duration]]&lt;=120, "1 to 2 hours", TRUE, "More than 2 hours")</f>
        <v>1 to 2 hours</v>
      </c>
      <c r="O160">
        <f>ROUND(calls[[#This Row],[Satisfaction Rating]],0)</f>
        <v>5</v>
      </c>
    </row>
    <row r="161" spans="2:15" x14ac:dyDescent="0.25">
      <c r="B161" t="s">
        <v>182</v>
      </c>
      <c r="C161" t="s">
        <v>20</v>
      </c>
      <c r="D161">
        <f>VLOOKUP(C161,customers[],3,0)</f>
        <v>38</v>
      </c>
      <c r="E161" t="str">
        <f>VLOOKUP(C161,customers[],2,0)</f>
        <v>Female</v>
      </c>
      <c r="F161" t="str">
        <f>VLOOKUP(C161,customers[],4,0)</f>
        <v>Columbus</v>
      </c>
      <c r="G161">
        <v>70</v>
      </c>
      <c r="H161" s="17" t="s">
        <v>8</v>
      </c>
      <c r="I161" s="18">
        <v>44987</v>
      </c>
      <c r="J161">
        <v>28</v>
      </c>
      <c r="K161">
        <v>4.8</v>
      </c>
      <c r="L161">
        <f>IF(MONTH(calls[[#This Row],[Date of Call]])&lt;=6, YEAR(calls[[#This Row],[Date of Call]]), YEAR(calls[[#This Row],[Date of Call]])+1)</f>
        <v>2023</v>
      </c>
      <c r="M161" t="str">
        <f>TEXT(calls[[#This Row],[Date of Call]],"DDDD")</f>
        <v>الخميس</v>
      </c>
      <c r="N161" t="str" cm="1">
        <f t="array" ref="N161">_xlfn.IFS(calls[[#This Row],[Duration]]&lt;=10,"Under 10 mins", calls[[#This Row],[Duration]]&lt;=30, "10 to 30 mins", calls[[#This Row],[Duration]]&lt;=60, "30 to 60 mins", calls[[#This Row],[Duration]]&lt;=120, "1 to 2 hours", TRUE, "More than 2 hours")</f>
        <v>1 to 2 hours</v>
      </c>
      <c r="O161">
        <f>ROUND(calls[[#This Row],[Satisfaction Rating]],0)</f>
        <v>5</v>
      </c>
    </row>
    <row r="162" spans="2:15" x14ac:dyDescent="0.25">
      <c r="B162" t="s">
        <v>183</v>
      </c>
      <c r="C162" t="s">
        <v>21</v>
      </c>
      <c r="D162">
        <f>VLOOKUP(C162,customers[],3,0)</f>
        <v>25</v>
      </c>
      <c r="E162" t="str">
        <f>VLOOKUP(C162,customers[],2,0)</f>
        <v>Female</v>
      </c>
      <c r="F162" t="str">
        <f>VLOOKUP(C162,customers[],4,0)</f>
        <v>Columbus</v>
      </c>
      <c r="G162">
        <v>86</v>
      </c>
      <c r="H162" s="17" t="s">
        <v>9</v>
      </c>
      <c r="I162" s="18">
        <v>44988</v>
      </c>
      <c r="J162">
        <v>70</v>
      </c>
      <c r="K162">
        <v>4.9000000000000004</v>
      </c>
      <c r="L162">
        <f>IF(MONTH(calls[[#This Row],[Date of Call]])&lt;=6, YEAR(calls[[#This Row],[Date of Call]]), YEAR(calls[[#This Row],[Date of Call]])+1)</f>
        <v>2023</v>
      </c>
      <c r="M162" t="str">
        <f>TEXT(calls[[#This Row],[Date of Call]],"DDDD")</f>
        <v>الجمعة</v>
      </c>
      <c r="N162" t="str" cm="1">
        <f t="array" ref="N162">_xlfn.IFS(calls[[#This Row],[Duration]]&lt;=10,"Under 10 mins", calls[[#This Row],[Duration]]&lt;=30, "10 to 30 mins", calls[[#This Row],[Duration]]&lt;=60, "30 to 60 mins", calls[[#This Row],[Duration]]&lt;=120, "1 to 2 hours", TRUE, "More than 2 hours")</f>
        <v>1 to 2 hours</v>
      </c>
      <c r="O162">
        <f>ROUND(calls[[#This Row],[Satisfaction Rating]],0)</f>
        <v>5</v>
      </c>
    </row>
    <row r="163" spans="2:15" x14ac:dyDescent="0.25">
      <c r="B163" t="s">
        <v>184</v>
      </c>
      <c r="C163" t="s">
        <v>22</v>
      </c>
      <c r="D163">
        <f>VLOOKUP(C163,customers[],3,0)</f>
        <v>37</v>
      </c>
      <c r="E163" t="str">
        <f>VLOOKUP(C163,customers[],2,0)</f>
        <v>Male</v>
      </c>
      <c r="F163" t="str">
        <f>VLOOKUP(C163,customers[],4,0)</f>
        <v>Columbus</v>
      </c>
      <c r="G163">
        <v>64</v>
      </c>
      <c r="H163" s="17" t="s">
        <v>9</v>
      </c>
      <c r="I163" s="18">
        <v>44988</v>
      </c>
      <c r="J163">
        <v>172</v>
      </c>
      <c r="K163">
        <v>4.0999999999999996</v>
      </c>
      <c r="L163">
        <f>IF(MONTH(calls[[#This Row],[Date of Call]])&lt;=6, YEAR(calls[[#This Row],[Date of Call]]), YEAR(calls[[#This Row],[Date of Call]])+1)</f>
        <v>2023</v>
      </c>
      <c r="M163" t="str">
        <f>TEXT(calls[[#This Row],[Date of Call]],"DDDD")</f>
        <v>الجمعة</v>
      </c>
      <c r="N163" t="str" cm="1">
        <f t="array" ref="N163">_xlfn.IFS(calls[[#This Row],[Duration]]&lt;=10,"Under 10 mins", calls[[#This Row],[Duration]]&lt;=30, "10 to 30 mins", calls[[#This Row],[Duration]]&lt;=60, "30 to 60 mins", calls[[#This Row],[Duration]]&lt;=120, "1 to 2 hours", TRUE, "More than 2 hours")</f>
        <v>1 to 2 hours</v>
      </c>
      <c r="O163">
        <f>ROUND(calls[[#This Row],[Satisfaction Rating]],0)</f>
        <v>4</v>
      </c>
    </row>
    <row r="164" spans="2:15" x14ac:dyDescent="0.25">
      <c r="B164" t="s">
        <v>185</v>
      </c>
      <c r="C164" t="s">
        <v>11</v>
      </c>
      <c r="D164">
        <f>VLOOKUP(C164,customers[],3,0)</f>
        <v>36</v>
      </c>
      <c r="E164" t="str">
        <f>VLOOKUP(C164,customers[],2,0)</f>
        <v>Male</v>
      </c>
      <c r="F164" t="str">
        <f>VLOOKUP(C164,customers[],4,0)</f>
        <v>Cincinnati</v>
      </c>
      <c r="G164">
        <v>113</v>
      </c>
      <c r="H164" s="17" t="s">
        <v>10</v>
      </c>
      <c r="I164" s="18">
        <v>44988</v>
      </c>
      <c r="J164">
        <v>123</v>
      </c>
      <c r="K164">
        <v>4.4000000000000004</v>
      </c>
      <c r="L164">
        <f>IF(MONTH(calls[[#This Row],[Date of Call]])&lt;=6, YEAR(calls[[#This Row],[Date of Call]]), YEAR(calls[[#This Row],[Date of Call]])+1)</f>
        <v>2023</v>
      </c>
      <c r="M164" t="str">
        <f>TEXT(calls[[#This Row],[Date of Call]],"DDDD")</f>
        <v>الجمعة</v>
      </c>
      <c r="N164" t="str" cm="1">
        <f t="array" ref="N164">_xlfn.IFS(calls[[#This Row],[Duration]]&lt;=10,"Under 10 mins", calls[[#This Row],[Duration]]&lt;=30, "10 to 30 mins", calls[[#This Row],[Duration]]&lt;=60, "30 to 60 mins", calls[[#This Row],[Duration]]&lt;=120, "1 to 2 hours", TRUE, "More than 2 hours")</f>
        <v>1 to 2 hours</v>
      </c>
      <c r="O164">
        <f>ROUND(calls[[#This Row],[Satisfaction Rating]],0)</f>
        <v>4</v>
      </c>
    </row>
    <row r="165" spans="2:15" x14ac:dyDescent="0.25">
      <c r="B165" t="s">
        <v>186</v>
      </c>
      <c r="C165" t="s">
        <v>11</v>
      </c>
      <c r="D165">
        <f>VLOOKUP(C165,customers[],3,0)</f>
        <v>36</v>
      </c>
      <c r="E165" t="str">
        <f>VLOOKUP(C165,customers[],2,0)</f>
        <v>Male</v>
      </c>
      <c r="F165" t="str">
        <f>VLOOKUP(C165,customers[],4,0)</f>
        <v>Cincinnati</v>
      </c>
      <c r="G165">
        <v>21</v>
      </c>
      <c r="H165" s="17" t="s">
        <v>8</v>
      </c>
      <c r="I165" s="18">
        <v>44988</v>
      </c>
      <c r="J165">
        <v>93</v>
      </c>
      <c r="K165">
        <v>3.4</v>
      </c>
      <c r="L165">
        <f>IF(MONTH(calls[[#This Row],[Date of Call]])&lt;=6, YEAR(calls[[#This Row],[Date of Call]]), YEAR(calls[[#This Row],[Date of Call]])+1)</f>
        <v>2023</v>
      </c>
      <c r="M165" t="str">
        <f>TEXT(calls[[#This Row],[Date of Call]],"DDDD")</f>
        <v>الجمعة</v>
      </c>
      <c r="N165" t="str" cm="1">
        <f t="array" ref="N165">_xlfn.IFS(calls[[#This Row],[Duration]]&lt;=10,"Under 10 mins", calls[[#This Row],[Duration]]&lt;=30, "10 to 30 mins", calls[[#This Row],[Duration]]&lt;=60, "30 to 60 mins", calls[[#This Row],[Duration]]&lt;=120, "1 to 2 hours", TRUE, "More than 2 hours")</f>
        <v>10 to 30 mins</v>
      </c>
      <c r="O165">
        <f>ROUND(calls[[#This Row],[Satisfaction Rating]],0)</f>
        <v>3</v>
      </c>
    </row>
    <row r="166" spans="2:15" x14ac:dyDescent="0.25">
      <c r="B166" t="s">
        <v>187</v>
      </c>
      <c r="C166" t="s">
        <v>15</v>
      </c>
      <c r="D166">
        <f>VLOOKUP(C166,customers[],3,0)</f>
        <v>28</v>
      </c>
      <c r="E166" t="str">
        <f>VLOOKUP(C166,customers[],2,0)</f>
        <v>Female</v>
      </c>
      <c r="F166" t="str">
        <f>VLOOKUP(C166,customers[],4,0)</f>
        <v>Cincinnati</v>
      </c>
      <c r="G166">
        <v>107</v>
      </c>
      <c r="H166" s="17" t="s">
        <v>9</v>
      </c>
      <c r="I166" s="18">
        <v>44988</v>
      </c>
      <c r="J166">
        <v>66</v>
      </c>
      <c r="K166">
        <v>4</v>
      </c>
      <c r="L166">
        <f>IF(MONTH(calls[[#This Row],[Date of Call]])&lt;=6, YEAR(calls[[#This Row],[Date of Call]]), YEAR(calls[[#This Row],[Date of Call]])+1)</f>
        <v>2023</v>
      </c>
      <c r="M166" t="str">
        <f>TEXT(calls[[#This Row],[Date of Call]],"DDDD")</f>
        <v>الجمعة</v>
      </c>
      <c r="N166" t="str" cm="1">
        <f t="array" ref="N166">_xlfn.IFS(calls[[#This Row],[Duration]]&lt;=10,"Under 10 mins", calls[[#This Row],[Duration]]&lt;=30, "10 to 30 mins", calls[[#This Row],[Duration]]&lt;=60, "30 to 60 mins", calls[[#This Row],[Duration]]&lt;=120, "1 to 2 hours", TRUE, "More than 2 hours")</f>
        <v>1 to 2 hours</v>
      </c>
      <c r="O166">
        <f>ROUND(calls[[#This Row],[Satisfaction Rating]],0)</f>
        <v>4</v>
      </c>
    </row>
    <row r="167" spans="2:15" x14ac:dyDescent="0.25">
      <c r="B167" t="s">
        <v>188</v>
      </c>
      <c r="C167" t="s">
        <v>15</v>
      </c>
      <c r="D167">
        <f>VLOOKUP(C167,customers[],3,0)</f>
        <v>28</v>
      </c>
      <c r="E167" t="str">
        <f>VLOOKUP(C167,customers[],2,0)</f>
        <v>Female</v>
      </c>
      <c r="F167" t="str">
        <f>VLOOKUP(C167,customers[],4,0)</f>
        <v>Cincinnati</v>
      </c>
      <c r="G167">
        <v>131</v>
      </c>
      <c r="H167" s="17" t="s">
        <v>8</v>
      </c>
      <c r="I167" s="18">
        <v>44988</v>
      </c>
      <c r="J167">
        <v>39</v>
      </c>
      <c r="K167">
        <v>2.4</v>
      </c>
      <c r="L167">
        <f>IF(MONTH(calls[[#This Row],[Date of Call]])&lt;=6, YEAR(calls[[#This Row],[Date of Call]]), YEAR(calls[[#This Row],[Date of Call]])+1)</f>
        <v>2023</v>
      </c>
      <c r="M167" t="str">
        <f>TEXT(calls[[#This Row],[Date of Call]],"DDDD")</f>
        <v>الجمعة</v>
      </c>
      <c r="N167" t="str" cm="1">
        <f t="array" ref="N167">_xlfn.IFS(calls[[#This Row],[Duration]]&lt;=10,"Under 10 mins", calls[[#This Row],[Duration]]&lt;=30, "10 to 30 mins", calls[[#This Row],[Duration]]&lt;=60, "30 to 60 mins", calls[[#This Row],[Duration]]&lt;=120, "1 to 2 hours", TRUE, "More than 2 hours")</f>
        <v>More than 2 hours</v>
      </c>
      <c r="O167">
        <f>ROUND(calls[[#This Row],[Satisfaction Rating]],0)</f>
        <v>2</v>
      </c>
    </row>
    <row r="168" spans="2:15" x14ac:dyDescent="0.25">
      <c r="B168" t="s">
        <v>189</v>
      </c>
      <c r="C168" t="s">
        <v>19</v>
      </c>
      <c r="D168">
        <f>VLOOKUP(C168,customers[],3,0)</f>
        <v>26</v>
      </c>
      <c r="E168" t="str">
        <f>VLOOKUP(C168,customers[],2,0)</f>
        <v>Male</v>
      </c>
      <c r="F168" t="str">
        <f>VLOOKUP(C168,customers[],4,0)</f>
        <v>Cincinnati</v>
      </c>
      <c r="G168">
        <v>11</v>
      </c>
      <c r="H168" s="17" t="s">
        <v>5</v>
      </c>
      <c r="I168" s="18">
        <v>44988</v>
      </c>
      <c r="J168">
        <v>25</v>
      </c>
      <c r="K168">
        <v>2.1</v>
      </c>
      <c r="L168">
        <f>IF(MONTH(calls[[#This Row],[Date of Call]])&lt;=6, YEAR(calls[[#This Row],[Date of Call]]), YEAR(calls[[#This Row],[Date of Call]])+1)</f>
        <v>2023</v>
      </c>
      <c r="M168" t="str">
        <f>TEXT(calls[[#This Row],[Date of Call]],"DDDD")</f>
        <v>الجمعة</v>
      </c>
      <c r="N168" t="str" cm="1">
        <f t="array" ref="N168">_xlfn.IFS(calls[[#This Row],[Duration]]&lt;=10,"Under 10 mins", calls[[#This Row],[Duration]]&lt;=30, "10 to 30 mins", calls[[#This Row],[Duration]]&lt;=60, "30 to 60 mins", calls[[#This Row],[Duration]]&lt;=120, "1 to 2 hours", TRUE, "More than 2 hours")</f>
        <v>10 to 30 mins</v>
      </c>
      <c r="O168">
        <f>ROUND(calls[[#This Row],[Satisfaction Rating]],0)</f>
        <v>2</v>
      </c>
    </row>
    <row r="169" spans="2:15" x14ac:dyDescent="0.25">
      <c r="B169" t="s">
        <v>190</v>
      </c>
      <c r="C169" t="s">
        <v>16</v>
      </c>
      <c r="D169">
        <f>VLOOKUP(C169,customers[],3,0)</f>
        <v>41</v>
      </c>
      <c r="E169" t="str">
        <f>VLOOKUP(C169,customers[],2,0)</f>
        <v>Male</v>
      </c>
      <c r="F169" t="str">
        <f>VLOOKUP(C169,customers[],4,0)</f>
        <v>Columbus</v>
      </c>
      <c r="G169">
        <v>86</v>
      </c>
      <c r="H169" s="17" t="s">
        <v>10</v>
      </c>
      <c r="I169" s="18">
        <v>44988</v>
      </c>
      <c r="J169">
        <v>68</v>
      </c>
      <c r="K169">
        <v>3</v>
      </c>
      <c r="L169">
        <f>IF(MONTH(calls[[#This Row],[Date of Call]])&lt;=6, YEAR(calls[[#This Row],[Date of Call]]), YEAR(calls[[#This Row],[Date of Call]])+1)</f>
        <v>2023</v>
      </c>
      <c r="M169" t="str">
        <f>TEXT(calls[[#This Row],[Date of Call]],"DDDD")</f>
        <v>الجمعة</v>
      </c>
      <c r="N169" t="str" cm="1">
        <f t="array" ref="N169">_xlfn.IFS(calls[[#This Row],[Duration]]&lt;=10,"Under 10 mins", calls[[#This Row],[Duration]]&lt;=30, "10 to 30 mins", calls[[#This Row],[Duration]]&lt;=60, "30 to 60 mins", calls[[#This Row],[Duration]]&lt;=120, "1 to 2 hours", TRUE, "More than 2 hours")</f>
        <v>1 to 2 hours</v>
      </c>
      <c r="O169">
        <f>ROUND(calls[[#This Row],[Satisfaction Rating]],0)</f>
        <v>3</v>
      </c>
    </row>
    <row r="170" spans="2:15" x14ac:dyDescent="0.25">
      <c r="B170" t="s">
        <v>191</v>
      </c>
      <c r="C170" t="s">
        <v>22</v>
      </c>
      <c r="D170">
        <f>VLOOKUP(C170,customers[],3,0)</f>
        <v>37</v>
      </c>
      <c r="E170" t="str">
        <f>VLOOKUP(C170,customers[],2,0)</f>
        <v>Male</v>
      </c>
      <c r="F170" t="str">
        <f>VLOOKUP(C170,customers[],4,0)</f>
        <v>Columbus</v>
      </c>
      <c r="G170">
        <v>28</v>
      </c>
      <c r="H170" s="17" t="s">
        <v>5</v>
      </c>
      <c r="I170" s="18">
        <v>44988</v>
      </c>
      <c r="J170">
        <v>84</v>
      </c>
      <c r="K170">
        <v>3.2</v>
      </c>
      <c r="L170">
        <f>IF(MONTH(calls[[#This Row],[Date of Call]])&lt;=6, YEAR(calls[[#This Row],[Date of Call]]), YEAR(calls[[#This Row],[Date of Call]])+1)</f>
        <v>2023</v>
      </c>
      <c r="M170" t="str">
        <f>TEXT(calls[[#This Row],[Date of Call]],"DDDD")</f>
        <v>الجمعة</v>
      </c>
      <c r="N170" t="str" cm="1">
        <f t="array" ref="N170">_xlfn.IFS(calls[[#This Row],[Duration]]&lt;=10,"Under 10 mins", calls[[#This Row],[Duration]]&lt;=30, "10 to 30 mins", calls[[#This Row],[Duration]]&lt;=60, "30 to 60 mins", calls[[#This Row],[Duration]]&lt;=120, "1 to 2 hours", TRUE, "More than 2 hours")</f>
        <v>10 to 30 mins</v>
      </c>
      <c r="O170">
        <f>ROUND(calls[[#This Row],[Satisfaction Rating]],0)</f>
        <v>3</v>
      </c>
    </row>
    <row r="171" spans="2:15" x14ac:dyDescent="0.25">
      <c r="B171" t="s">
        <v>192</v>
      </c>
      <c r="C171" t="s">
        <v>7</v>
      </c>
      <c r="D171">
        <f>VLOOKUP(C171,customers[],3,0)</f>
        <v>30</v>
      </c>
      <c r="E171" t="str">
        <f>VLOOKUP(C171,customers[],2,0)</f>
        <v>Female</v>
      </c>
      <c r="F171" t="str">
        <f>VLOOKUP(C171,customers[],4,0)</f>
        <v>Cincinnati</v>
      </c>
      <c r="G171">
        <v>139</v>
      </c>
      <c r="H171" s="17" t="s">
        <v>8</v>
      </c>
      <c r="I171" s="18">
        <v>44989</v>
      </c>
      <c r="J171">
        <v>88</v>
      </c>
      <c r="K171">
        <v>3.4</v>
      </c>
      <c r="L171">
        <f>IF(MONTH(calls[[#This Row],[Date of Call]])&lt;=6, YEAR(calls[[#This Row],[Date of Call]]), YEAR(calls[[#This Row],[Date of Call]])+1)</f>
        <v>2023</v>
      </c>
      <c r="M171" t="str">
        <f>TEXT(calls[[#This Row],[Date of Call]],"DDDD")</f>
        <v>السبت</v>
      </c>
      <c r="N171" t="str" cm="1">
        <f t="array" ref="N171">_xlfn.IFS(calls[[#This Row],[Duration]]&lt;=10,"Under 10 mins", calls[[#This Row],[Duration]]&lt;=30, "10 to 30 mins", calls[[#This Row],[Duration]]&lt;=60, "30 to 60 mins", calls[[#This Row],[Duration]]&lt;=120, "1 to 2 hours", TRUE, "More than 2 hours")</f>
        <v>More than 2 hours</v>
      </c>
      <c r="O171">
        <f>ROUND(calls[[#This Row],[Satisfaction Rating]],0)</f>
        <v>3</v>
      </c>
    </row>
    <row r="172" spans="2:15" x14ac:dyDescent="0.25">
      <c r="B172" t="s">
        <v>193</v>
      </c>
      <c r="C172" t="s">
        <v>6</v>
      </c>
      <c r="D172">
        <f>VLOOKUP(C172,customers[],3,0)</f>
        <v>23</v>
      </c>
      <c r="E172" t="str">
        <f>VLOOKUP(C172,customers[],2,0)</f>
        <v>Male</v>
      </c>
      <c r="F172" t="str">
        <f>VLOOKUP(C172,customers[],4,0)</f>
        <v>Columbus</v>
      </c>
      <c r="G172">
        <v>82</v>
      </c>
      <c r="H172" s="17" t="s">
        <v>10</v>
      </c>
      <c r="I172" s="18">
        <v>44989</v>
      </c>
      <c r="J172">
        <v>93</v>
      </c>
      <c r="K172">
        <v>2.7</v>
      </c>
      <c r="L172">
        <f>IF(MONTH(calls[[#This Row],[Date of Call]])&lt;=6, YEAR(calls[[#This Row],[Date of Call]]), YEAR(calls[[#This Row],[Date of Call]])+1)</f>
        <v>2023</v>
      </c>
      <c r="M172" t="str">
        <f>TEXT(calls[[#This Row],[Date of Call]],"DDDD")</f>
        <v>السبت</v>
      </c>
      <c r="N172" t="str" cm="1">
        <f t="array" ref="N172">_xlfn.IFS(calls[[#This Row],[Duration]]&lt;=10,"Under 10 mins", calls[[#This Row],[Duration]]&lt;=30, "10 to 30 mins", calls[[#This Row],[Duration]]&lt;=60, "30 to 60 mins", calls[[#This Row],[Duration]]&lt;=120, "1 to 2 hours", TRUE, "More than 2 hours")</f>
        <v>1 to 2 hours</v>
      </c>
      <c r="O172">
        <f>ROUND(calls[[#This Row],[Satisfaction Rating]],0)</f>
        <v>3</v>
      </c>
    </row>
    <row r="173" spans="2:15" x14ac:dyDescent="0.25">
      <c r="B173" t="s">
        <v>194</v>
      </c>
      <c r="C173" t="s">
        <v>11</v>
      </c>
      <c r="D173">
        <f>VLOOKUP(C173,customers[],3,0)</f>
        <v>36</v>
      </c>
      <c r="E173" t="str">
        <f>VLOOKUP(C173,customers[],2,0)</f>
        <v>Male</v>
      </c>
      <c r="F173" t="str">
        <f>VLOOKUP(C173,customers[],4,0)</f>
        <v>Cincinnati</v>
      </c>
      <c r="G173">
        <v>101</v>
      </c>
      <c r="H173" s="17" t="s">
        <v>5</v>
      </c>
      <c r="I173" s="18">
        <v>44989</v>
      </c>
      <c r="J173">
        <v>128</v>
      </c>
      <c r="K173">
        <v>5</v>
      </c>
      <c r="L173">
        <f>IF(MONTH(calls[[#This Row],[Date of Call]])&lt;=6, YEAR(calls[[#This Row],[Date of Call]]), YEAR(calls[[#This Row],[Date of Call]])+1)</f>
        <v>2023</v>
      </c>
      <c r="M173" t="str">
        <f>TEXT(calls[[#This Row],[Date of Call]],"DDDD")</f>
        <v>السبت</v>
      </c>
      <c r="N173" t="str" cm="1">
        <f t="array" ref="N173">_xlfn.IFS(calls[[#This Row],[Duration]]&lt;=10,"Under 10 mins", calls[[#This Row],[Duration]]&lt;=30, "10 to 30 mins", calls[[#This Row],[Duration]]&lt;=60, "30 to 60 mins", calls[[#This Row],[Duration]]&lt;=120, "1 to 2 hours", TRUE, "More than 2 hours")</f>
        <v>1 to 2 hours</v>
      </c>
      <c r="O173">
        <f>ROUND(calls[[#This Row],[Satisfaction Rating]],0)</f>
        <v>5</v>
      </c>
    </row>
    <row r="174" spans="2:15" x14ac:dyDescent="0.25">
      <c r="B174" t="s">
        <v>195</v>
      </c>
      <c r="C174" t="s">
        <v>22</v>
      </c>
      <c r="D174">
        <f>VLOOKUP(C174,customers[],3,0)</f>
        <v>37</v>
      </c>
      <c r="E174" t="str">
        <f>VLOOKUP(C174,customers[],2,0)</f>
        <v>Male</v>
      </c>
      <c r="F174" t="str">
        <f>VLOOKUP(C174,customers[],4,0)</f>
        <v>Columbus</v>
      </c>
      <c r="G174">
        <v>75</v>
      </c>
      <c r="H174" s="17" t="s">
        <v>12</v>
      </c>
      <c r="I174" s="18">
        <v>44989</v>
      </c>
      <c r="J174">
        <v>40</v>
      </c>
      <c r="K174">
        <v>3.4</v>
      </c>
      <c r="L174">
        <f>IF(MONTH(calls[[#This Row],[Date of Call]])&lt;=6, YEAR(calls[[#This Row],[Date of Call]]), YEAR(calls[[#This Row],[Date of Call]])+1)</f>
        <v>2023</v>
      </c>
      <c r="M174" t="str">
        <f>TEXT(calls[[#This Row],[Date of Call]],"DDDD")</f>
        <v>السبت</v>
      </c>
      <c r="N174" t="str" cm="1">
        <f t="array" ref="N174">_xlfn.IFS(calls[[#This Row],[Duration]]&lt;=10,"Under 10 mins", calls[[#This Row],[Duration]]&lt;=30, "10 to 30 mins", calls[[#This Row],[Duration]]&lt;=60, "30 to 60 mins", calls[[#This Row],[Duration]]&lt;=120, "1 to 2 hours", TRUE, "More than 2 hours")</f>
        <v>1 to 2 hours</v>
      </c>
      <c r="O174">
        <f>ROUND(calls[[#This Row],[Satisfaction Rating]],0)</f>
        <v>3</v>
      </c>
    </row>
    <row r="175" spans="2:15" x14ac:dyDescent="0.25">
      <c r="B175" t="s">
        <v>196</v>
      </c>
      <c r="C175" t="s">
        <v>17</v>
      </c>
      <c r="D175">
        <f>VLOOKUP(C175,customers[],3,0)</f>
        <v>30</v>
      </c>
      <c r="E175" t="str">
        <f>VLOOKUP(C175,customers[],2,0)</f>
        <v>Female</v>
      </c>
      <c r="F175" t="str">
        <f>VLOOKUP(C175,customers[],4,0)</f>
        <v>Cleveland</v>
      </c>
      <c r="G175">
        <v>40</v>
      </c>
      <c r="H175" s="17" t="s">
        <v>5</v>
      </c>
      <c r="I175" s="18">
        <v>44990</v>
      </c>
      <c r="J175">
        <v>92</v>
      </c>
      <c r="K175">
        <v>4.7</v>
      </c>
      <c r="L175">
        <f>IF(MONTH(calls[[#This Row],[Date of Call]])&lt;=6, YEAR(calls[[#This Row],[Date of Call]]), YEAR(calls[[#This Row],[Date of Call]])+1)</f>
        <v>2023</v>
      </c>
      <c r="M175" t="str">
        <f>TEXT(calls[[#This Row],[Date of Call]],"DDDD")</f>
        <v>الأحد</v>
      </c>
      <c r="N175" t="str" cm="1">
        <f t="array" ref="N175">_xlfn.IFS(calls[[#This Row],[Duration]]&lt;=10,"Under 10 mins", calls[[#This Row],[Duration]]&lt;=30, "10 to 30 mins", calls[[#This Row],[Duration]]&lt;=60, "30 to 60 mins", calls[[#This Row],[Duration]]&lt;=120, "1 to 2 hours", TRUE, "More than 2 hours")</f>
        <v>30 to 60 mins</v>
      </c>
      <c r="O175">
        <f>ROUND(calls[[#This Row],[Satisfaction Rating]],0)</f>
        <v>5</v>
      </c>
    </row>
    <row r="176" spans="2:15" x14ac:dyDescent="0.25">
      <c r="B176" t="s">
        <v>197</v>
      </c>
      <c r="C176" t="s">
        <v>23</v>
      </c>
      <c r="D176">
        <f>VLOOKUP(C176,customers[],3,0)</f>
        <v>31</v>
      </c>
      <c r="E176" t="str">
        <f>VLOOKUP(C176,customers[],2,0)</f>
        <v>Male</v>
      </c>
      <c r="F176" t="str">
        <f>VLOOKUP(C176,customers[],4,0)</f>
        <v>Cleveland</v>
      </c>
      <c r="G176">
        <v>86</v>
      </c>
      <c r="H176" s="17" t="s">
        <v>8</v>
      </c>
      <c r="I176" s="18">
        <v>44990</v>
      </c>
      <c r="J176">
        <v>27</v>
      </c>
      <c r="K176">
        <v>4.5</v>
      </c>
      <c r="L176">
        <f>IF(MONTH(calls[[#This Row],[Date of Call]])&lt;=6, YEAR(calls[[#This Row],[Date of Call]]), YEAR(calls[[#This Row],[Date of Call]])+1)</f>
        <v>2023</v>
      </c>
      <c r="M176" t="str">
        <f>TEXT(calls[[#This Row],[Date of Call]],"DDDD")</f>
        <v>الأحد</v>
      </c>
      <c r="N176" t="str" cm="1">
        <f t="array" ref="N176">_xlfn.IFS(calls[[#This Row],[Duration]]&lt;=10,"Under 10 mins", calls[[#This Row],[Duration]]&lt;=30, "10 to 30 mins", calls[[#This Row],[Duration]]&lt;=60, "30 to 60 mins", calls[[#This Row],[Duration]]&lt;=120, "1 to 2 hours", TRUE, "More than 2 hours")</f>
        <v>1 to 2 hours</v>
      </c>
      <c r="O176">
        <f>ROUND(calls[[#This Row],[Satisfaction Rating]],0)</f>
        <v>5</v>
      </c>
    </row>
    <row r="177" spans="2:15" x14ac:dyDescent="0.25">
      <c r="B177" t="s">
        <v>198</v>
      </c>
      <c r="C177" t="s">
        <v>14</v>
      </c>
      <c r="D177">
        <f>VLOOKUP(C177,customers[],3,0)</f>
        <v>22</v>
      </c>
      <c r="E177" t="str">
        <f>VLOOKUP(C177,customers[],2,0)</f>
        <v>Female</v>
      </c>
      <c r="F177" t="str">
        <f>VLOOKUP(C177,customers[],4,0)</f>
        <v>Cleveland</v>
      </c>
      <c r="G177">
        <v>131</v>
      </c>
      <c r="H177" s="17" t="s">
        <v>9</v>
      </c>
      <c r="I177" s="18">
        <v>44990</v>
      </c>
      <c r="J177">
        <v>140</v>
      </c>
      <c r="K177">
        <v>4.0999999999999996</v>
      </c>
      <c r="L177">
        <f>IF(MONTH(calls[[#This Row],[Date of Call]])&lt;=6, YEAR(calls[[#This Row],[Date of Call]]), YEAR(calls[[#This Row],[Date of Call]])+1)</f>
        <v>2023</v>
      </c>
      <c r="M177" t="str">
        <f>TEXT(calls[[#This Row],[Date of Call]],"DDDD")</f>
        <v>الأحد</v>
      </c>
      <c r="N177" t="str" cm="1">
        <f t="array" ref="N177">_xlfn.IFS(calls[[#This Row],[Duration]]&lt;=10,"Under 10 mins", calls[[#This Row],[Duration]]&lt;=30, "10 to 30 mins", calls[[#This Row],[Duration]]&lt;=60, "30 to 60 mins", calls[[#This Row],[Duration]]&lt;=120, "1 to 2 hours", TRUE, "More than 2 hours")</f>
        <v>More than 2 hours</v>
      </c>
      <c r="O177">
        <f>ROUND(calls[[#This Row],[Satisfaction Rating]],0)</f>
        <v>4</v>
      </c>
    </row>
    <row r="178" spans="2:15" x14ac:dyDescent="0.25">
      <c r="B178" t="s">
        <v>199</v>
      </c>
      <c r="C178" t="s">
        <v>15</v>
      </c>
      <c r="D178">
        <f>VLOOKUP(C178,customers[],3,0)</f>
        <v>28</v>
      </c>
      <c r="E178" t="str">
        <f>VLOOKUP(C178,customers[],2,0)</f>
        <v>Female</v>
      </c>
      <c r="F178" t="str">
        <f>VLOOKUP(C178,customers[],4,0)</f>
        <v>Cincinnati</v>
      </c>
      <c r="G178">
        <v>67</v>
      </c>
      <c r="H178" s="17" t="s">
        <v>10</v>
      </c>
      <c r="I178" s="18">
        <v>44990</v>
      </c>
      <c r="J178">
        <v>40</v>
      </c>
      <c r="K178">
        <v>5</v>
      </c>
      <c r="L178">
        <f>IF(MONTH(calls[[#This Row],[Date of Call]])&lt;=6, YEAR(calls[[#This Row],[Date of Call]]), YEAR(calls[[#This Row],[Date of Call]])+1)</f>
        <v>2023</v>
      </c>
      <c r="M178" t="str">
        <f>TEXT(calls[[#This Row],[Date of Call]],"DDDD")</f>
        <v>الأحد</v>
      </c>
      <c r="N178" t="str" cm="1">
        <f t="array" ref="N178">_xlfn.IFS(calls[[#This Row],[Duration]]&lt;=10,"Under 10 mins", calls[[#This Row],[Duration]]&lt;=30, "10 to 30 mins", calls[[#This Row],[Duration]]&lt;=60, "30 to 60 mins", calls[[#This Row],[Duration]]&lt;=120, "1 to 2 hours", TRUE, "More than 2 hours")</f>
        <v>1 to 2 hours</v>
      </c>
      <c r="O178">
        <f>ROUND(calls[[#This Row],[Satisfaction Rating]],0)</f>
        <v>5</v>
      </c>
    </row>
    <row r="179" spans="2:15" x14ac:dyDescent="0.25">
      <c r="B179" t="s">
        <v>200</v>
      </c>
      <c r="C179" t="s">
        <v>4</v>
      </c>
      <c r="D179">
        <f>VLOOKUP(C179,customers[],3,0)</f>
        <v>42</v>
      </c>
      <c r="E179" t="str">
        <f>VLOOKUP(C179,customers[],2,0)</f>
        <v>Female</v>
      </c>
      <c r="F179" t="str">
        <f>VLOOKUP(C179,customers[],4,0)</f>
        <v>Cleveland</v>
      </c>
      <c r="G179">
        <v>71</v>
      </c>
      <c r="H179" s="17" t="s">
        <v>5</v>
      </c>
      <c r="I179" s="18">
        <v>44990</v>
      </c>
      <c r="J179">
        <v>102</v>
      </c>
      <c r="K179">
        <v>4.7</v>
      </c>
      <c r="L179">
        <f>IF(MONTH(calls[[#This Row],[Date of Call]])&lt;=6, YEAR(calls[[#This Row],[Date of Call]]), YEAR(calls[[#This Row],[Date of Call]])+1)</f>
        <v>2023</v>
      </c>
      <c r="M179" t="str">
        <f>TEXT(calls[[#This Row],[Date of Call]],"DDDD")</f>
        <v>الأحد</v>
      </c>
      <c r="N179" t="str" cm="1">
        <f t="array" ref="N179">_xlfn.IFS(calls[[#This Row],[Duration]]&lt;=10,"Under 10 mins", calls[[#This Row],[Duration]]&lt;=30, "10 to 30 mins", calls[[#This Row],[Duration]]&lt;=60, "30 to 60 mins", calls[[#This Row],[Duration]]&lt;=120, "1 to 2 hours", TRUE, "More than 2 hours")</f>
        <v>1 to 2 hours</v>
      </c>
      <c r="O179">
        <f>ROUND(calls[[#This Row],[Satisfaction Rating]],0)</f>
        <v>5</v>
      </c>
    </row>
    <row r="180" spans="2:15" x14ac:dyDescent="0.25">
      <c r="B180" t="s">
        <v>201</v>
      </c>
      <c r="C180" t="s">
        <v>14</v>
      </c>
      <c r="D180">
        <f>VLOOKUP(C180,customers[],3,0)</f>
        <v>22</v>
      </c>
      <c r="E180" t="str">
        <f>VLOOKUP(C180,customers[],2,0)</f>
        <v>Female</v>
      </c>
      <c r="F180" t="str">
        <f>VLOOKUP(C180,customers[],4,0)</f>
        <v>Cleveland</v>
      </c>
      <c r="G180">
        <v>113</v>
      </c>
      <c r="H180" s="17" t="s">
        <v>9</v>
      </c>
      <c r="I180" s="18">
        <v>44990</v>
      </c>
      <c r="J180">
        <v>42</v>
      </c>
      <c r="K180">
        <v>4.2</v>
      </c>
      <c r="L180">
        <f>IF(MONTH(calls[[#This Row],[Date of Call]])&lt;=6, YEAR(calls[[#This Row],[Date of Call]]), YEAR(calls[[#This Row],[Date of Call]])+1)</f>
        <v>2023</v>
      </c>
      <c r="M180" t="str">
        <f>TEXT(calls[[#This Row],[Date of Call]],"DDDD")</f>
        <v>الأحد</v>
      </c>
      <c r="N180" t="str" cm="1">
        <f t="array" ref="N180">_xlfn.IFS(calls[[#This Row],[Duration]]&lt;=10,"Under 10 mins", calls[[#This Row],[Duration]]&lt;=30, "10 to 30 mins", calls[[#This Row],[Duration]]&lt;=60, "30 to 60 mins", calls[[#This Row],[Duration]]&lt;=120, "1 to 2 hours", TRUE, "More than 2 hours")</f>
        <v>1 to 2 hours</v>
      </c>
      <c r="O180">
        <f>ROUND(calls[[#This Row],[Satisfaction Rating]],0)</f>
        <v>4</v>
      </c>
    </row>
    <row r="181" spans="2:15" x14ac:dyDescent="0.25">
      <c r="B181" t="s">
        <v>202</v>
      </c>
      <c r="C181" t="s">
        <v>6</v>
      </c>
      <c r="D181">
        <f>VLOOKUP(C181,customers[],3,0)</f>
        <v>23</v>
      </c>
      <c r="E181" t="str">
        <f>VLOOKUP(C181,customers[],2,0)</f>
        <v>Male</v>
      </c>
      <c r="F181" t="str">
        <f>VLOOKUP(C181,customers[],4,0)</f>
        <v>Columbus</v>
      </c>
      <c r="G181">
        <v>53</v>
      </c>
      <c r="H181" s="17" t="s">
        <v>8</v>
      </c>
      <c r="I181" s="18">
        <v>44991</v>
      </c>
      <c r="J181">
        <v>210</v>
      </c>
      <c r="K181">
        <v>3.9</v>
      </c>
      <c r="L181">
        <f>IF(MONTH(calls[[#This Row],[Date of Call]])&lt;=6, YEAR(calls[[#This Row],[Date of Call]]), YEAR(calls[[#This Row],[Date of Call]])+1)</f>
        <v>2023</v>
      </c>
      <c r="M181" t="str">
        <f>TEXT(calls[[#This Row],[Date of Call]],"DDDD")</f>
        <v>الإثنين</v>
      </c>
      <c r="N181" t="str" cm="1">
        <f t="array" ref="N181">_xlfn.IFS(calls[[#This Row],[Duration]]&lt;=10,"Under 10 mins", calls[[#This Row],[Duration]]&lt;=30, "10 to 30 mins", calls[[#This Row],[Duration]]&lt;=60, "30 to 60 mins", calls[[#This Row],[Duration]]&lt;=120, "1 to 2 hours", TRUE, "More than 2 hours")</f>
        <v>30 to 60 mins</v>
      </c>
      <c r="O181">
        <f>ROUND(calls[[#This Row],[Satisfaction Rating]],0)</f>
        <v>4</v>
      </c>
    </row>
    <row r="182" spans="2:15" x14ac:dyDescent="0.25">
      <c r="B182" t="s">
        <v>203</v>
      </c>
      <c r="C182" t="s">
        <v>14</v>
      </c>
      <c r="D182">
        <f>VLOOKUP(C182,customers[],3,0)</f>
        <v>22</v>
      </c>
      <c r="E182" t="str">
        <f>VLOOKUP(C182,customers[],2,0)</f>
        <v>Female</v>
      </c>
      <c r="F182" t="str">
        <f>VLOOKUP(C182,customers[],4,0)</f>
        <v>Cleveland</v>
      </c>
      <c r="G182">
        <v>153</v>
      </c>
      <c r="H182" s="17" t="s">
        <v>10</v>
      </c>
      <c r="I182" s="18">
        <v>44991</v>
      </c>
      <c r="J182">
        <v>34</v>
      </c>
      <c r="K182">
        <v>3</v>
      </c>
      <c r="L182">
        <f>IF(MONTH(calls[[#This Row],[Date of Call]])&lt;=6, YEAR(calls[[#This Row],[Date of Call]]), YEAR(calls[[#This Row],[Date of Call]])+1)</f>
        <v>2023</v>
      </c>
      <c r="M182" t="str">
        <f>TEXT(calls[[#This Row],[Date of Call]],"DDDD")</f>
        <v>الإثنين</v>
      </c>
      <c r="N182" t="str" cm="1">
        <f t="array" ref="N182">_xlfn.IFS(calls[[#This Row],[Duration]]&lt;=10,"Under 10 mins", calls[[#This Row],[Duration]]&lt;=30, "10 to 30 mins", calls[[#This Row],[Duration]]&lt;=60, "30 to 60 mins", calls[[#This Row],[Duration]]&lt;=120, "1 to 2 hours", TRUE, "More than 2 hours")</f>
        <v>More than 2 hours</v>
      </c>
      <c r="O182">
        <f>ROUND(calls[[#This Row],[Satisfaction Rating]],0)</f>
        <v>3</v>
      </c>
    </row>
    <row r="183" spans="2:15" x14ac:dyDescent="0.25">
      <c r="B183" t="s">
        <v>204</v>
      </c>
      <c r="C183" t="s">
        <v>15</v>
      </c>
      <c r="D183">
        <f>VLOOKUP(C183,customers[],3,0)</f>
        <v>28</v>
      </c>
      <c r="E183" t="str">
        <f>VLOOKUP(C183,customers[],2,0)</f>
        <v>Female</v>
      </c>
      <c r="F183" t="str">
        <f>VLOOKUP(C183,customers[],4,0)</f>
        <v>Cincinnati</v>
      </c>
      <c r="G183">
        <v>73</v>
      </c>
      <c r="H183" s="17" t="s">
        <v>12</v>
      </c>
      <c r="I183" s="18">
        <v>44991</v>
      </c>
      <c r="J183">
        <v>215</v>
      </c>
      <c r="K183">
        <v>3.6</v>
      </c>
      <c r="L183">
        <f>IF(MONTH(calls[[#This Row],[Date of Call]])&lt;=6, YEAR(calls[[#This Row],[Date of Call]]), YEAR(calls[[#This Row],[Date of Call]])+1)</f>
        <v>2023</v>
      </c>
      <c r="M183" t="str">
        <f>TEXT(calls[[#This Row],[Date of Call]],"DDDD")</f>
        <v>الإثنين</v>
      </c>
      <c r="N183" t="str" cm="1">
        <f t="array" ref="N183">_xlfn.IFS(calls[[#This Row],[Duration]]&lt;=10,"Under 10 mins", calls[[#This Row],[Duration]]&lt;=30, "10 to 30 mins", calls[[#This Row],[Duration]]&lt;=60, "30 to 60 mins", calls[[#This Row],[Duration]]&lt;=120, "1 to 2 hours", TRUE, "More than 2 hours")</f>
        <v>1 to 2 hours</v>
      </c>
      <c r="O183">
        <f>ROUND(calls[[#This Row],[Satisfaction Rating]],0)</f>
        <v>4</v>
      </c>
    </row>
    <row r="184" spans="2:15" x14ac:dyDescent="0.25">
      <c r="B184" t="s">
        <v>205</v>
      </c>
      <c r="C184" t="s">
        <v>21</v>
      </c>
      <c r="D184">
        <f>VLOOKUP(C184,customers[],3,0)</f>
        <v>25</v>
      </c>
      <c r="E184" t="str">
        <f>VLOOKUP(C184,customers[],2,0)</f>
        <v>Female</v>
      </c>
      <c r="F184" t="str">
        <f>VLOOKUP(C184,customers[],4,0)</f>
        <v>Columbus</v>
      </c>
      <c r="G184">
        <v>62</v>
      </c>
      <c r="H184" s="17" t="s">
        <v>12</v>
      </c>
      <c r="I184" s="18">
        <v>44991</v>
      </c>
      <c r="J184">
        <v>32</v>
      </c>
      <c r="K184">
        <v>0.7</v>
      </c>
      <c r="L184">
        <f>IF(MONTH(calls[[#This Row],[Date of Call]])&lt;=6, YEAR(calls[[#This Row],[Date of Call]]), YEAR(calls[[#This Row],[Date of Call]])+1)</f>
        <v>2023</v>
      </c>
      <c r="M184" t="str">
        <f>TEXT(calls[[#This Row],[Date of Call]],"DDDD")</f>
        <v>الإثنين</v>
      </c>
      <c r="N184" t="str" cm="1">
        <f t="array" ref="N184">_xlfn.IFS(calls[[#This Row],[Duration]]&lt;=10,"Under 10 mins", calls[[#This Row],[Duration]]&lt;=30, "10 to 30 mins", calls[[#This Row],[Duration]]&lt;=60, "30 to 60 mins", calls[[#This Row],[Duration]]&lt;=120, "1 to 2 hours", TRUE, "More than 2 hours")</f>
        <v>1 to 2 hours</v>
      </c>
      <c r="O184">
        <f>ROUND(calls[[#This Row],[Satisfaction Rating]],0)</f>
        <v>1</v>
      </c>
    </row>
    <row r="185" spans="2:15" x14ac:dyDescent="0.25">
      <c r="B185" t="s">
        <v>206</v>
      </c>
      <c r="C185" t="s">
        <v>7</v>
      </c>
      <c r="D185">
        <f>VLOOKUP(C185,customers[],3,0)</f>
        <v>30</v>
      </c>
      <c r="E185" t="str">
        <f>VLOOKUP(C185,customers[],2,0)</f>
        <v>Female</v>
      </c>
      <c r="F185" t="str">
        <f>VLOOKUP(C185,customers[],4,0)</f>
        <v>Cincinnati</v>
      </c>
      <c r="G185">
        <v>115</v>
      </c>
      <c r="H185" s="17" t="s">
        <v>8</v>
      </c>
      <c r="I185" s="18">
        <v>44992</v>
      </c>
      <c r="J185">
        <v>48</v>
      </c>
      <c r="K185">
        <v>4.7</v>
      </c>
      <c r="L185">
        <f>IF(MONTH(calls[[#This Row],[Date of Call]])&lt;=6, YEAR(calls[[#This Row],[Date of Call]]), YEAR(calls[[#This Row],[Date of Call]])+1)</f>
        <v>2023</v>
      </c>
      <c r="M185" t="str">
        <f>TEXT(calls[[#This Row],[Date of Call]],"DDDD")</f>
        <v>الثلاثاء</v>
      </c>
      <c r="N185" t="str" cm="1">
        <f t="array" ref="N185">_xlfn.IFS(calls[[#This Row],[Duration]]&lt;=10,"Under 10 mins", calls[[#This Row],[Duration]]&lt;=30, "10 to 30 mins", calls[[#This Row],[Duration]]&lt;=60, "30 to 60 mins", calls[[#This Row],[Duration]]&lt;=120, "1 to 2 hours", TRUE, "More than 2 hours")</f>
        <v>1 to 2 hours</v>
      </c>
      <c r="O185">
        <f>ROUND(calls[[#This Row],[Satisfaction Rating]],0)</f>
        <v>5</v>
      </c>
    </row>
    <row r="186" spans="2:15" x14ac:dyDescent="0.25">
      <c r="B186" t="s">
        <v>207</v>
      </c>
      <c r="C186" t="s">
        <v>14</v>
      </c>
      <c r="D186">
        <f>VLOOKUP(C186,customers[],3,0)</f>
        <v>22</v>
      </c>
      <c r="E186" t="str">
        <f>VLOOKUP(C186,customers[],2,0)</f>
        <v>Female</v>
      </c>
      <c r="F186" t="str">
        <f>VLOOKUP(C186,customers[],4,0)</f>
        <v>Cleveland</v>
      </c>
      <c r="G186">
        <v>69</v>
      </c>
      <c r="H186" s="17" t="s">
        <v>8</v>
      </c>
      <c r="I186" s="18">
        <v>44992</v>
      </c>
      <c r="J186">
        <v>132</v>
      </c>
      <c r="K186">
        <v>4.5</v>
      </c>
      <c r="L186">
        <f>IF(MONTH(calls[[#This Row],[Date of Call]])&lt;=6, YEAR(calls[[#This Row],[Date of Call]]), YEAR(calls[[#This Row],[Date of Call]])+1)</f>
        <v>2023</v>
      </c>
      <c r="M186" t="str">
        <f>TEXT(calls[[#This Row],[Date of Call]],"DDDD")</f>
        <v>الثلاثاء</v>
      </c>
      <c r="N186" t="str" cm="1">
        <f t="array" ref="N186">_xlfn.IFS(calls[[#This Row],[Duration]]&lt;=10,"Under 10 mins", calls[[#This Row],[Duration]]&lt;=30, "10 to 30 mins", calls[[#This Row],[Duration]]&lt;=60, "30 to 60 mins", calls[[#This Row],[Duration]]&lt;=120, "1 to 2 hours", TRUE, "More than 2 hours")</f>
        <v>1 to 2 hours</v>
      </c>
      <c r="O186">
        <f>ROUND(calls[[#This Row],[Satisfaction Rating]],0)</f>
        <v>5</v>
      </c>
    </row>
    <row r="187" spans="2:15" x14ac:dyDescent="0.25">
      <c r="B187" t="s">
        <v>208</v>
      </c>
      <c r="C187" t="s">
        <v>23</v>
      </c>
      <c r="D187">
        <f>VLOOKUP(C187,customers[],3,0)</f>
        <v>31</v>
      </c>
      <c r="E187" t="str">
        <f>VLOOKUP(C187,customers[],2,0)</f>
        <v>Male</v>
      </c>
      <c r="F187" t="str">
        <f>VLOOKUP(C187,customers[],4,0)</f>
        <v>Cleveland</v>
      </c>
      <c r="G187">
        <v>103</v>
      </c>
      <c r="H187" s="17" t="s">
        <v>9</v>
      </c>
      <c r="I187" s="18">
        <v>44992</v>
      </c>
      <c r="J187">
        <v>172</v>
      </c>
      <c r="K187">
        <v>4.3</v>
      </c>
      <c r="L187">
        <f>IF(MONTH(calls[[#This Row],[Date of Call]])&lt;=6, YEAR(calls[[#This Row],[Date of Call]]), YEAR(calls[[#This Row],[Date of Call]])+1)</f>
        <v>2023</v>
      </c>
      <c r="M187" t="str">
        <f>TEXT(calls[[#This Row],[Date of Call]],"DDDD")</f>
        <v>الثلاثاء</v>
      </c>
      <c r="N187" t="str" cm="1">
        <f t="array" ref="N187">_xlfn.IFS(calls[[#This Row],[Duration]]&lt;=10,"Under 10 mins", calls[[#This Row],[Duration]]&lt;=30, "10 to 30 mins", calls[[#This Row],[Duration]]&lt;=60, "30 to 60 mins", calls[[#This Row],[Duration]]&lt;=120, "1 to 2 hours", TRUE, "More than 2 hours")</f>
        <v>1 to 2 hours</v>
      </c>
      <c r="O187">
        <f>ROUND(calls[[#This Row],[Satisfaction Rating]],0)</f>
        <v>4</v>
      </c>
    </row>
    <row r="188" spans="2:15" x14ac:dyDescent="0.25">
      <c r="B188" t="s">
        <v>209</v>
      </c>
      <c r="C188" t="s">
        <v>23</v>
      </c>
      <c r="D188">
        <f>VLOOKUP(C188,customers[],3,0)</f>
        <v>31</v>
      </c>
      <c r="E188" t="str">
        <f>VLOOKUP(C188,customers[],2,0)</f>
        <v>Male</v>
      </c>
      <c r="F188" t="str">
        <f>VLOOKUP(C188,customers[],4,0)</f>
        <v>Cleveland</v>
      </c>
      <c r="G188">
        <v>75</v>
      </c>
      <c r="H188" s="17" t="s">
        <v>9</v>
      </c>
      <c r="I188" s="18">
        <v>44992</v>
      </c>
      <c r="J188">
        <v>111</v>
      </c>
      <c r="K188">
        <v>3.4</v>
      </c>
      <c r="L188">
        <f>IF(MONTH(calls[[#This Row],[Date of Call]])&lt;=6, YEAR(calls[[#This Row],[Date of Call]]), YEAR(calls[[#This Row],[Date of Call]])+1)</f>
        <v>2023</v>
      </c>
      <c r="M188" t="str">
        <f>TEXT(calls[[#This Row],[Date of Call]],"DDDD")</f>
        <v>الثلاثاء</v>
      </c>
      <c r="N188" t="str" cm="1">
        <f t="array" ref="N188">_xlfn.IFS(calls[[#This Row],[Duration]]&lt;=10,"Under 10 mins", calls[[#This Row],[Duration]]&lt;=30, "10 to 30 mins", calls[[#This Row],[Duration]]&lt;=60, "30 to 60 mins", calls[[#This Row],[Duration]]&lt;=120, "1 to 2 hours", TRUE, "More than 2 hours")</f>
        <v>1 to 2 hours</v>
      </c>
      <c r="O188">
        <f>ROUND(calls[[#This Row],[Satisfaction Rating]],0)</f>
        <v>3</v>
      </c>
    </row>
    <row r="189" spans="2:15" x14ac:dyDescent="0.25">
      <c r="B189" t="s">
        <v>210</v>
      </c>
      <c r="C189" t="s">
        <v>13</v>
      </c>
      <c r="D189">
        <f>VLOOKUP(C189,customers[],3,0)</f>
        <v>37</v>
      </c>
      <c r="E189" t="str">
        <f>VLOOKUP(C189,customers[],2,0)</f>
        <v>Female</v>
      </c>
      <c r="F189" t="str">
        <f>VLOOKUP(C189,customers[],4,0)</f>
        <v>Cleveland</v>
      </c>
      <c r="G189">
        <v>92</v>
      </c>
      <c r="H189" s="17" t="s">
        <v>9</v>
      </c>
      <c r="I189" s="18">
        <v>44992</v>
      </c>
      <c r="J189">
        <v>58</v>
      </c>
      <c r="K189">
        <v>3.6</v>
      </c>
      <c r="L189">
        <f>IF(MONTH(calls[[#This Row],[Date of Call]])&lt;=6, YEAR(calls[[#This Row],[Date of Call]]), YEAR(calls[[#This Row],[Date of Call]])+1)</f>
        <v>2023</v>
      </c>
      <c r="M189" t="str">
        <f>TEXT(calls[[#This Row],[Date of Call]],"DDDD")</f>
        <v>الثلاثاء</v>
      </c>
      <c r="N189" t="str" cm="1">
        <f t="array" ref="N189">_xlfn.IFS(calls[[#This Row],[Duration]]&lt;=10,"Under 10 mins", calls[[#This Row],[Duration]]&lt;=30, "10 to 30 mins", calls[[#This Row],[Duration]]&lt;=60, "30 to 60 mins", calls[[#This Row],[Duration]]&lt;=120, "1 to 2 hours", TRUE, "More than 2 hours")</f>
        <v>1 to 2 hours</v>
      </c>
      <c r="O189">
        <f>ROUND(calls[[#This Row],[Satisfaction Rating]],0)</f>
        <v>4</v>
      </c>
    </row>
    <row r="190" spans="2:15" x14ac:dyDescent="0.25">
      <c r="B190" t="s">
        <v>211</v>
      </c>
      <c r="C190" t="s">
        <v>13</v>
      </c>
      <c r="D190">
        <f>VLOOKUP(C190,customers[],3,0)</f>
        <v>37</v>
      </c>
      <c r="E190" t="str">
        <f>VLOOKUP(C190,customers[],2,0)</f>
        <v>Female</v>
      </c>
      <c r="F190" t="str">
        <f>VLOOKUP(C190,customers[],4,0)</f>
        <v>Cleveland</v>
      </c>
      <c r="G190">
        <v>41</v>
      </c>
      <c r="H190" s="17" t="s">
        <v>12</v>
      </c>
      <c r="I190" s="18">
        <v>44992</v>
      </c>
      <c r="J190">
        <v>68</v>
      </c>
      <c r="K190">
        <v>4</v>
      </c>
      <c r="L190">
        <f>IF(MONTH(calls[[#This Row],[Date of Call]])&lt;=6, YEAR(calls[[#This Row],[Date of Call]]), YEAR(calls[[#This Row],[Date of Call]])+1)</f>
        <v>2023</v>
      </c>
      <c r="M190" t="str">
        <f>TEXT(calls[[#This Row],[Date of Call]],"DDDD")</f>
        <v>الثلاثاء</v>
      </c>
      <c r="N190" t="str" cm="1">
        <f t="array" ref="N190">_xlfn.IFS(calls[[#This Row],[Duration]]&lt;=10,"Under 10 mins", calls[[#This Row],[Duration]]&lt;=30, "10 to 30 mins", calls[[#This Row],[Duration]]&lt;=60, "30 to 60 mins", calls[[#This Row],[Duration]]&lt;=120, "1 to 2 hours", TRUE, "More than 2 hours")</f>
        <v>30 to 60 mins</v>
      </c>
      <c r="O190">
        <f>ROUND(calls[[#This Row],[Satisfaction Rating]],0)</f>
        <v>4</v>
      </c>
    </row>
    <row r="191" spans="2:15" x14ac:dyDescent="0.25">
      <c r="B191" t="s">
        <v>212</v>
      </c>
      <c r="C191" t="s">
        <v>23</v>
      </c>
      <c r="D191">
        <f>VLOOKUP(C191,customers[],3,0)</f>
        <v>31</v>
      </c>
      <c r="E191" t="str">
        <f>VLOOKUP(C191,customers[],2,0)</f>
        <v>Male</v>
      </c>
      <c r="F191" t="str">
        <f>VLOOKUP(C191,customers[],4,0)</f>
        <v>Cleveland</v>
      </c>
      <c r="G191">
        <v>134</v>
      </c>
      <c r="H191" s="17" t="s">
        <v>10</v>
      </c>
      <c r="I191" s="18">
        <v>44992</v>
      </c>
      <c r="J191">
        <v>160</v>
      </c>
      <c r="K191">
        <v>4.5</v>
      </c>
      <c r="L191">
        <f>IF(MONTH(calls[[#This Row],[Date of Call]])&lt;=6, YEAR(calls[[#This Row],[Date of Call]]), YEAR(calls[[#This Row],[Date of Call]])+1)</f>
        <v>2023</v>
      </c>
      <c r="M191" t="str">
        <f>TEXT(calls[[#This Row],[Date of Call]],"DDDD")</f>
        <v>الثلاثاء</v>
      </c>
      <c r="N191" t="str" cm="1">
        <f t="array" ref="N191">_xlfn.IFS(calls[[#This Row],[Duration]]&lt;=10,"Under 10 mins", calls[[#This Row],[Duration]]&lt;=30, "10 to 30 mins", calls[[#This Row],[Duration]]&lt;=60, "30 to 60 mins", calls[[#This Row],[Duration]]&lt;=120, "1 to 2 hours", TRUE, "More than 2 hours")</f>
        <v>More than 2 hours</v>
      </c>
      <c r="O191">
        <f>ROUND(calls[[#This Row],[Satisfaction Rating]],0)</f>
        <v>5</v>
      </c>
    </row>
    <row r="192" spans="2:15" x14ac:dyDescent="0.25">
      <c r="B192" t="s">
        <v>213</v>
      </c>
      <c r="C192" t="s">
        <v>16</v>
      </c>
      <c r="D192">
        <f>VLOOKUP(C192,customers[],3,0)</f>
        <v>41</v>
      </c>
      <c r="E192" t="str">
        <f>VLOOKUP(C192,customers[],2,0)</f>
        <v>Male</v>
      </c>
      <c r="F192" t="str">
        <f>VLOOKUP(C192,customers[],4,0)</f>
        <v>Columbus</v>
      </c>
      <c r="G192">
        <v>80</v>
      </c>
      <c r="H192" s="17" t="s">
        <v>5</v>
      </c>
      <c r="I192" s="18">
        <v>44992</v>
      </c>
      <c r="J192">
        <v>45</v>
      </c>
      <c r="K192">
        <v>3</v>
      </c>
      <c r="L192">
        <f>IF(MONTH(calls[[#This Row],[Date of Call]])&lt;=6, YEAR(calls[[#This Row],[Date of Call]]), YEAR(calls[[#This Row],[Date of Call]])+1)</f>
        <v>2023</v>
      </c>
      <c r="M192" t="str">
        <f>TEXT(calls[[#This Row],[Date of Call]],"DDDD")</f>
        <v>الثلاثاء</v>
      </c>
      <c r="N192" t="str" cm="1">
        <f t="array" ref="N192">_xlfn.IFS(calls[[#This Row],[Duration]]&lt;=10,"Under 10 mins", calls[[#This Row],[Duration]]&lt;=30, "10 to 30 mins", calls[[#This Row],[Duration]]&lt;=60, "30 to 60 mins", calls[[#This Row],[Duration]]&lt;=120, "1 to 2 hours", TRUE, "More than 2 hours")</f>
        <v>1 to 2 hours</v>
      </c>
      <c r="O192">
        <f>ROUND(calls[[#This Row],[Satisfaction Rating]],0)</f>
        <v>3</v>
      </c>
    </row>
    <row r="193" spans="2:15" x14ac:dyDescent="0.25">
      <c r="B193" t="s">
        <v>214</v>
      </c>
      <c r="C193" t="s">
        <v>4</v>
      </c>
      <c r="D193">
        <f>VLOOKUP(C193,customers[],3,0)</f>
        <v>42</v>
      </c>
      <c r="E193" t="str">
        <f>VLOOKUP(C193,customers[],2,0)</f>
        <v>Female</v>
      </c>
      <c r="F193" t="str">
        <f>VLOOKUP(C193,customers[],4,0)</f>
        <v>Cleveland</v>
      </c>
      <c r="G193">
        <v>103</v>
      </c>
      <c r="H193" s="17" t="s">
        <v>8</v>
      </c>
      <c r="I193" s="18">
        <v>44993</v>
      </c>
      <c r="J193">
        <v>117</v>
      </c>
      <c r="K193">
        <v>3</v>
      </c>
      <c r="L193">
        <f>IF(MONTH(calls[[#This Row],[Date of Call]])&lt;=6, YEAR(calls[[#This Row],[Date of Call]]), YEAR(calls[[#This Row],[Date of Call]])+1)</f>
        <v>2023</v>
      </c>
      <c r="M193" t="str">
        <f>TEXT(calls[[#This Row],[Date of Call]],"DDDD")</f>
        <v>الأربعاء</v>
      </c>
      <c r="N193" t="str" cm="1">
        <f t="array" ref="N193">_xlfn.IFS(calls[[#This Row],[Duration]]&lt;=10,"Under 10 mins", calls[[#This Row],[Duration]]&lt;=30, "10 to 30 mins", calls[[#This Row],[Duration]]&lt;=60, "30 to 60 mins", calls[[#This Row],[Duration]]&lt;=120, "1 to 2 hours", TRUE, "More than 2 hours")</f>
        <v>1 to 2 hours</v>
      </c>
      <c r="O193">
        <f>ROUND(calls[[#This Row],[Satisfaction Rating]],0)</f>
        <v>3</v>
      </c>
    </row>
    <row r="194" spans="2:15" x14ac:dyDescent="0.25">
      <c r="B194" t="s">
        <v>215</v>
      </c>
      <c r="C194" t="s">
        <v>6</v>
      </c>
      <c r="D194">
        <f>VLOOKUP(C194,customers[],3,0)</f>
        <v>23</v>
      </c>
      <c r="E194" t="str">
        <f>VLOOKUP(C194,customers[],2,0)</f>
        <v>Male</v>
      </c>
      <c r="F194" t="str">
        <f>VLOOKUP(C194,customers[],4,0)</f>
        <v>Columbus</v>
      </c>
      <c r="G194">
        <v>20</v>
      </c>
      <c r="H194" s="17" t="s">
        <v>9</v>
      </c>
      <c r="I194" s="18">
        <v>44994</v>
      </c>
      <c r="J194">
        <v>22</v>
      </c>
      <c r="K194">
        <v>1.6</v>
      </c>
      <c r="L194">
        <f>IF(MONTH(calls[[#This Row],[Date of Call]])&lt;=6, YEAR(calls[[#This Row],[Date of Call]]), YEAR(calls[[#This Row],[Date of Call]])+1)</f>
        <v>2023</v>
      </c>
      <c r="M194" t="str">
        <f>TEXT(calls[[#This Row],[Date of Call]],"DDDD")</f>
        <v>الخميس</v>
      </c>
      <c r="N194" t="str" cm="1">
        <f t="array" ref="N194">_xlfn.IFS(calls[[#This Row],[Duration]]&lt;=10,"Under 10 mins", calls[[#This Row],[Duration]]&lt;=30, "10 to 30 mins", calls[[#This Row],[Duration]]&lt;=60, "30 to 60 mins", calls[[#This Row],[Duration]]&lt;=120, "1 to 2 hours", TRUE, "More than 2 hours")</f>
        <v>10 to 30 mins</v>
      </c>
      <c r="O194">
        <f>ROUND(calls[[#This Row],[Satisfaction Rating]],0)</f>
        <v>2</v>
      </c>
    </row>
    <row r="195" spans="2:15" x14ac:dyDescent="0.25">
      <c r="B195" t="s">
        <v>216</v>
      </c>
      <c r="C195" t="s">
        <v>4</v>
      </c>
      <c r="D195">
        <f>VLOOKUP(C195,customers[],3,0)</f>
        <v>42</v>
      </c>
      <c r="E195" t="str">
        <f>VLOOKUP(C195,customers[],2,0)</f>
        <v>Female</v>
      </c>
      <c r="F195" t="str">
        <f>VLOOKUP(C195,customers[],4,0)</f>
        <v>Cleveland</v>
      </c>
      <c r="G195">
        <v>75</v>
      </c>
      <c r="H195" s="17" t="s">
        <v>5</v>
      </c>
      <c r="I195" s="18">
        <v>44994</v>
      </c>
      <c r="J195">
        <v>195</v>
      </c>
      <c r="K195">
        <v>3</v>
      </c>
      <c r="L195">
        <f>IF(MONTH(calls[[#This Row],[Date of Call]])&lt;=6, YEAR(calls[[#This Row],[Date of Call]]), YEAR(calls[[#This Row],[Date of Call]])+1)</f>
        <v>2023</v>
      </c>
      <c r="M195" t="str">
        <f>TEXT(calls[[#This Row],[Date of Call]],"DDDD")</f>
        <v>الخميس</v>
      </c>
      <c r="N195" t="str" cm="1">
        <f t="array" ref="N195">_xlfn.IFS(calls[[#This Row],[Duration]]&lt;=10,"Under 10 mins", calls[[#This Row],[Duration]]&lt;=30, "10 to 30 mins", calls[[#This Row],[Duration]]&lt;=60, "30 to 60 mins", calls[[#This Row],[Duration]]&lt;=120, "1 to 2 hours", TRUE, "More than 2 hours")</f>
        <v>1 to 2 hours</v>
      </c>
      <c r="O195">
        <f>ROUND(calls[[#This Row],[Satisfaction Rating]],0)</f>
        <v>3</v>
      </c>
    </row>
    <row r="196" spans="2:15" x14ac:dyDescent="0.25">
      <c r="B196" t="s">
        <v>217</v>
      </c>
      <c r="C196" t="s">
        <v>13</v>
      </c>
      <c r="D196">
        <f>VLOOKUP(C196,customers[],3,0)</f>
        <v>37</v>
      </c>
      <c r="E196" t="str">
        <f>VLOOKUP(C196,customers[],2,0)</f>
        <v>Female</v>
      </c>
      <c r="F196" t="str">
        <f>VLOOKUP(C196,customers[],4,0)</f>
        <v>Cleveland</v>
      </c>
      <c r="G196">
        <v>80</v>
      </c>
      <c r="H196" s="17" t="s">
        <v>10</v>
      </c>
      <c r="I196" s="18">
        <v>44994</v>
      </c>
      <c r="J196">
        <v>168</v>
      </c>
      <c r="K196">
        <v>3.7</v>
      </c>
      <c r="L196">
        <f>IF(MONTH(calls[[#This Row],[Date of Call]])&lt;=6, YEAR(calls[[#This Row],[Date of Call]]), YEAR(calls[[#This Row],[Date of Call]])+1)</f>
        <v>2023</v>
      </c>
      <c r="M196" t="str">
        <f>TEXT(calls[[#This Row],[Date of Call]],"DDDD")</f>
        <v>الخميس</v>
      </c>
      <c r="N196" t="str" cm="1">
        <f t="array" ref="N196">_xlfn.IFS(calls[[#This Row],[Duration]]&lt;=10,"Under 10 mins", calls[[#This Row],[Duration]]&lt;=30, "10 to 30 mins", calls[[#This Row],[Duration]]&lt;=60, "30 to 60 mins", calls[[#This Row],[Duration]]&lt;=120, "1 to 2 hours", TRUE, "More than 2 hours")</f>
        <v>1 to 2 hours</v>
      </c>
      <c r="O196">
        <f>ROUND(calls[[#This Row],[Satisfaction Rating]],0)</f>
        <v>4</v>
      </c>
    </row>
    <row r="197" spans="2:15" x14ac:dyDescent="0.25">
      <c r="B197" t="s">
        <v>218</v>
      </c>
      <c r="C197" t="s">
        <v>14</v>
      </c>
      <c r="D197">
        <f>VLOOKUP(C197,customers[],3,0)</f>
        <v>22</v>
      </c>
      <c r="E197" t="str">
        <f>VLOOKUP(C197,customers[],2,0)</f>
        <v>Female</v>
      </c>
      <c r="F197" t="str">
        <f>VLOOKUP(C197,customers[],4,0)</f>
        <v>Cleveland</v>
      </c>
      <c r="G197">
        <v>85</v>
      </c>
      <c r="H197" s="17" t="s">
        <v>12</v>
      </c>
      <c r="I197" s="18">
        <v>44995</v>
      </c>
      <c r="J197">
        <v>46</v>
      </c>
      <c r="K197">
        <v>4.9000000000000004</v>
      </c>
      <c r="L197">
        <f>IF(MONTH(calls[[#This Row],[Date of Call]])&lt;=6, YEAR(calls[[#This Row],[Date of Call]]), YEAR(calls[[#This Row],[Date of Call]])+1)</f>
        <v>2023</v>
      </c>
      <c r="M197" t="str">
        <f>TEXT(calls[[#This Row],[Date of Call]],"DDDD")</f>
        <v>الجمعة</v>
      </c>
      <c r="N197" t="str" cm="1">
        <f t="array" ref="N197">_xlfn.IFS(calls[[#This Row],[Duration]]&lt;=10,"Under 10 mins", calls[[#This Row],[Duration]]&lt;=30, "10 to 30 mins", calls[[#This Row],[Duration]]&lt;=60, "30 to 60 mins", calls[[#This Row],[Duration]]&lt;=120, "1 to 2 hours", TRUE, "More than 2 hours")</f>
        <v>1 to 2 hours</v>
      </c>
      <c r="O197">
        <f>ROUND(calls[[#This Row],[Satisfaction Rating]],0)</f>
        <v>5</v>
      </c>
    </row>
    <row r="198" spans="2:15" x14ac:dyDescent="0.25">
      <c r="B198" t="s">
        <v>219</v>
      </c>
      <c r="C198" t="s">
        <v>11</v>
      </c>
      <c r="D198">
        <f>VLOOKUP(C198,customers[],3,0)</f>
        <v>36</v>
      </c>
      <c r="E198" t="str">
        <f>VLOOKUP(C198,customers[],2,0)</f>
        <v>Male</v>
      </c>
      <c r="F198" t="str">
        <f>VLOOKUP(C198,customers[],4,0)</f>
        <v>Cincinnati</v>
      </c>
      <c r="G198">
        <v>155</v>
      </c>
      <c r="H198" s="17" t="s">
        <v>9</v>
      </c>
      <c r="I198" s="18">
        <v>44995</v>
      </c>
      <c r="J198">
        <v>164</v>
      </c>
      <c r="K198">
        <v>3.4</v>
      </c>
      <c r="L198">
        <f>IF(MONTH(calls[[#This Row],[Date of Call]])&lt;=6, YEAR(calls[[#This Row],[Date of Call]]), YEAR(calls[[#This Row],[Date of Call]])+1)</f>
        <v>2023</v>
      </c>
      <c r="M198" t="str">
        <f>TEXT(calls[[#This Row],[Date of Call]],"DDDD")</f>
        <v>الجمعة</v>
      </c>
      <c r="N198" t="str" cm="1">
        <f t="array" ref="N198">_xlfn.IFS(calls[[#This Row],[Duration]]&lt;=10,"Under 10 mins", calls[[#This Row],[Duration]]&lt;=30, "10 to 30 mins", calls[[#This Row],[Duration]]&lt;=60, "30 to 60 mins", calls[[#This Row],[Duration]]&lt;=120, "1 to 2 hours", TRUE, "More than 2 hours")</f>
        <v>More than 2 hours</v>
      </c>
      <c r="O198">
        <f>ROUND(calls[[#This Row],[Satisfaction Rating]],0)</f>
        <v>3</v>
      </c>
    </row>
    <row r="199" spans="2:15" x14ac:dyDescent="0.25">
      <c r="B199" t="s">
        <v>220</v>
      </c>
      <c r="C199" t="s">
        <v>14</v>
      </c>
      <c r="D199">
        <f>VLOOKUP(C199,customers[],3,0)</f>
        <v>22</v>
      </c>
      <c r="E199" t="str">
        <f>VLOOKUP(C199,customers[],2,0)</f>
        <v>Female</v>
      </c>
      <c r="F199" t="str">
        <f>VLOOKUP(C199,customers[],4,0)</f>
        <v>Cleveland</v>
      </c>
      <c r="G199">
        <v>63</v>
      </c>
      <c r="H199" s="17" t="s">
        <v>12</v>
      </c>
      <c r="I199" s="18">
        <v>44995</v>
      </c>
      <c r="J199">
        <v>48</v>
      </c>
      <c r="K199">
        <v>5</v>
      </c>
      <c r="L199">
        <f>IF(MONTH(calls[[#This Row],[Date of Call]])&lt;=6, YEAR(calls[[#This Row],[Date of Call]]), YEAR(calls[[#This Row],[Date of Call]])+1)</f>
        <v>2023</v>
      </c>
      <c r="M199" t="str">
        <f>TEXT(calls[[#This Row],[Date of Call]],"DDDD")</f>
        <v>الجمعة</v>
      </c>
      <c r="N199" t="str" cm="1">
        <f t="array" ref="N199">_xlfn.IFS(calls[[#This Row],[Duration]]&lt;=10,"Under 10 mins", calls[[#This Row],[Duration]]&lt;=30, "10 to 30 mins", calls[[#This Row],[Duration]]&lt;=60, "30 to 60 mins", calls[[#This Row],[Duration]]&lt;=120, "1 to 2 hours", TRUE, "More than 2 hours")</f>
        <v>1 to 2 hours</v>
      </c>
      <c r="O199">
        <f>ROUND(calls[[#This Row],[Satisfaction Rating]],0)</f>
        <v>5</v>
      </c>
    </row>
    <row r="200" spans="2:15" x14ac:dyDescent="0.25">
      <c r="B200" t="s">
        <v>221</v>
      </c>
      <c r="C200" t="s">
        <v>22</v>
      </c>
      <c r="D200">
        <f>VLOOKUP(C200,customers[],3,0)</f>
        <v>37</v>
      </c>
      <c r="E200" t="str">
        <f>VLOOKUP(C200,customers[],2,0)</f>
        <v>Male</v>
      </c>
      <c r="F200" t="str">
        <f>VLOOKUP(C200,customers[],4,0)</f>
        <v>Columbus</v>
      </c>
      <c r="G200">
        <v>105</v>
      </c>
      <c r="H200" s="17" t="s">
        <v>8</v>
      </c>
      <c r="I200" s="18">
        <v>44995</v>
      </c>
      <c r="J200">
        <v>96</v>
      </c>
      <c r="K200">
        <v>5</v>
      </c>
      <c r="L200">
        <f>IF(MONTH(calls[[#This Row],[Date of Call]])&lt;=6, YEAR(calls[[#This Row],[Date of Call]]), YEAR(calls[[#This Row],[Date of Call]])+1)</f>
        <v>2023</v>
      </c>
      <c r="M200" t="str">
        <f>TEXT(calls[[#This Row],[Date of Call]],"DDDD")</f>
        <v>الجمعة</v>
      </c>
      <c r="N200" t="str" cm="1">
        <f t="array" ref="N200">_xlfn.IFS(calls[[#This Row],[Duration]]&lt;=10,"Under 10 mins", calls[[#This Row],[Duration]]&lt;=30, "10 to 30 mins", calls[[#This Row],[Duration]]&lt;=60, "30 to 60 mins", calls[[#This Row],[Duration]]&lt;=120, "1 to 2 hours", TRUE, "More than 2 hours")</f>
        <v>1 to 2 hours</v>
      </c>
      <c r="O200">
        <f>ROUND(calls[[#This Row],[Satisfaction Rating]],0)</f>
        <v>5</v>
      </c>
    </row>
    <row r="201" spans="2:15" x14ac:dyDescent="0.25">
      <c r="B201" t="s">
        <v>222</v>
      </c>
      <c r="C201" t="s">
        <v>14</v>
      </c>
      <c r="D201">
        <f>VLOOKUP(C201,customers[],3,0)</f>
        <v>22</v>
      </c>
      <c r="E201" t="str">
        <f>VLOOKUP(C201,customers[],2,0)</f>
        <v>Female</v>
      </c>
      <c r="F201" t="str">
        <f>VLOOKUP(C201,customers[],4,0)</f>
        <v>Cleveland</v>
      </c>
      <c r="G201">
        <v>71</v>
      </c>
      <c r="H201" s="17" t="s">
        <v>12</v>
      </c>
      <c r="I201" s="18">
        <v>44995</v>
      </c>
      <c r="J201">
        <v>105</v>
      </c>
      <c r="K201">
        <v>4</v>
      </c>
      <c r="L201">
        <f>IF(MONTH(calls[[#This Row],[Date of Call]])&lt;=6, YEAR(calls[[#This Row],[Date of Call]]), YEAR(calls[[#This Row],[Date of Call]])+1)</f>
        <v>2023</v>
      </c>
      <c r="M201" t="str">
        <f>TEXT(calls[[#This Row],[Date of Call]],"DDDD")</f>
        <v>الجمعة</v>
      </c>
      <c r="N201" t="str" cm="1">
        <f t="array" ref="N201">_xlfn.IFS(calls[[#This Row],[Duration]]&lt;=10,"Under 10 mins", calls[[#This Row],[Duration]]&lt;=30, "10 to 30 mins", calls[[#This Row],[Duration]]&lt;=60, "30 to 60 mins", calls[[#This Row],[Duration]]&lt;=120, "1 to 2 hours", TRUE, "More than 2 hours")</f>
        <v>1 to 2 hours</v>
      </c>
      <c r="O201">
        <f>ROUND(calls[[#This Row],[Satisfaction Rating]],0)</f>
        <v>4</v>
      </c>
    </row>
    <row r="202" spans="2:15" x14ac:dyDescent="0.25">
      <c r="B202" t="s">
        <v>223</v>
      </c>
      <c r="C202" t="s">
        <v>11</v>
      </c>
      <c r="D202">
        <f>VLOOKUP(C202,customers[],3,0)</f>
        <v>36</v>
      </c>
      <c r="E202" t="str">
        <f>VLOOKUP(C202,customers[],2,0)</f>
        <v>Male</v>
      </c>
      <c r="F202" t="str">
        <f>VLOOKUP(C202,customers[],4,0)</f>
        <v>Cincinnati</v>
      </c>
      <c r="G202">
        <v>100</v>
      </c>
      <c r="H202" s="17" t="s">
        <v>12</v>
      </c>
      <c r="I202" s="18">
        <v>44996</v>
      </c>
      <c r="J202">
        <v>44</v>
      </c>
      <c r="K202">
        <v>3.6</v>
      </c>
      <c r="L202">
        <f>IF(MONTH(calls[[#This Row],[Date of Call]])&lt;=6, YEAR(calls[[#This Row],[Date of Call]]), YEAR(calls[[#This Row],[Date of Call]])+1)</f>
        <v>2023</v>
      </c>
      <c r="M202" t="str">
        <f>TEXT(calls[[#This Row],[Date of Call]],"DDDD")</f>
        <v>السبت</v>
      </c>
      <c r="N202" t="str" cm="1">
        <f t="array" ref="N202">_xlfn.IFS(calls[[#This Row],[Duration]]&lt;=10,"Under 10 mins", calls[[#This Row],[Duration]]&lt;=30, "10 to 30 mins", calls[[#This Row],[Duration]]&lt;=60, "30 to 60 mins", calls[[#This Row],[Duration]]&lt;=120, "1 to 2 hours", TRUE, "More than 2 hours")</f>
        <v>1 to 2 hours</v>
      </c>
      <c r="O202">
        <f>ROUND(calls[[#This Row],[Satisfaction Rating]],0)</f>
        <v>4</v>
      </c>
    </row>
    <row r="203" spans="2:15" x14ac:dyDescent="0.25">
      <c r="B203" t="s">
        <v>224</v>
      </c>
      <c r="C203" t="s">
        <v>19</v>
      </c>
      <c r="D203">
        <f>VLOOKUP(C203,customers[],3,0)</f>
        <v>26</v>
      </c>
      <c r="E203" t="str">
        <f>VLOOKUP(C203,customers[],2,0)</f>
        <v>Male</v>
      </c>
      <c r="F203" t="str">
        <f>VLOOKUP(C203,customers[],4,0)</f>
        <v>Cincinnati</v>
      </c>
      <c r="G203">
        <v>93</v>
      </c>
      <c r="H203" s="17" t="s">
        <v>10</v>
      </c>
      <c r="I203" s="18">
        <v>44996</v>
      </c>
      <c r="J203">
        <v>132</v>
      </c>
      <c r="K203">
        <v>3.7</v>
      </c>
      <c r="L203">
        <f>IF(MONTH(calls[[#This Row],[Date of Call]])&lt;=6, YEAR(calls[[#This Row],[Date of Call]]), YEAR(calls[[#This Row],[Date of Call]])+1)</f>
        <v>2023</v>
      </c>
      <c r="M203" t="str">
        <f>TEXT(calls[[#This Row],[Date of Call]],"DDDD")</f>
        <v>السبت</v>
      </c>
      <c r="N203" t="str" cm="1">
        <f t="array" ref="N203">_xlfn.IFS(calls[[#This Row],[Duration]]&lt;=10,"Under 10 mins", calls[[#This Row],[Duration]]&lt;=30, "10 to 30 mins", calls[[#This Row],[Duration]]&lt;=60, "30 to 60 mins", calls[[#This Row],[Duration]]&lt;=120, "1 to 2 hours", TRUE, "More than 2 hours")</f>
        <v>1 to 2 hours</v>
      </c>
      <c r="O203">
        <f>ROUND(calls[[#This Row],[Satisfaction Rating]],0)</f>
        <v>4</v>
      </c>
    </row>
    <row r="204" spans="2:15" x14ac:dyDescent="0.25">
      <c r="B204" t="s">
        <v>225</v>
      </c>
      <c r="C204" t="s">
        <v>22</v>
      </c>
      <c r="D204">
        <f>VLOOKUP(C204,customers[],3,0)</f>
        <v>37</v>
      </c>
      <c r="E204" t="str">
        <f>VLOOKUP(C204,customers[],2,0)</f>
        <v>Male</v>
      </c>
      <c r="F204" t="str">
        <f>VLOOKUP(C204,customers[],4,0)</f>
        <v>Columbus</v>
      </c>
      <c r="G204">
        <v>84</v>
      </c>
      <c r="H204" s="17" t="s">
        <v>9</v>
      </c>
      <c r="I204" s="18">
        <v>44996</v>
      </c>
      <c r="J204">
        <v>54</v>
      </c>
      <c r="K204">
        <v>4.2</v>
      </c>
      <c r="L204">
        <f>IF(MONTH(calls[[#This Row],[Date of Call]])&lt;=6, YEAR(calls[[#This Row],[Date of Call]]), YEAR(calls[[#This Row],[Date of Call]])+1)</f>
        <v>2023</v>
      </c>
      <c r="M204" t="str">
        <f>TEXT(calls[[#This Row],[Date of Call]],"DDDD")</f>
        <v>السبت</v>
      </c>
      <c r="N204" t="str" cm="1">
        <f t="array" ref="N204">_xlfn.IFS(calls[[#This Row],[Duration]]&lt;=10,"Under 10 mins", calls[[#This Row],[Duration]]&lt;=30, "10 to 30 mins", calls[[#This Row],[Duration]]&lt;=60, "30 to 60 mins", calls[[#This Row],[Duration]]&lt;=120, "1 to 2 hours", TRUE, "More than 2 hours")</f>
        <v>1 to 2 hours</v>
      </c>
      <c r="O204">
        <f>ROUND(calls[[#This Row],[Satisfaction Rating]],0)</f>
        <v>4</v>
      </c>
    </row>
    <row r="205" spans="2:15" x14ac:dyDescent="0.25">
      <c r="B205" t="s">
        <v>226</v>
      </c>
      <c r="C205" t="s">
        <v>16</v>
      </c>
      <c r="D205">
        <f>VLOOKUP(C205,customers[],3,0)</f>
        <v>41</v>
      </c>
      <c r="E205" t="str">
        <f>VLOOKUP(C205,customers[],2,0)</f>
        <v>Male</v>
      </c>
      <c r="F205" t="str">
        <f>VLOOKUP(C205,customers[],4,0)</f>
        <v>Columbus</v>
      </c>
      <c r="G205">
        <v>56</v>
      </c>
      <c r="H205" s="17" t="s">
        <v>5</v>
      </c>
      <c r="I205" s="18">
        <v>44996</v>
      </c>
      <c r="J205">
        <v>129</v>
      </c>
      <c r="K205">
        <v>2.1</v>
      </c>
      <c r="L205">
        <f>IF(MONTH(calls[[#This Row],[Date of Call]])&lt;=6, YEAR(calls[[#This Row],[Date of Call]]), YEAR(calls[[#This Row],[Date of Call]])+1)</f>
        <v>2023</v>
      </c>
      <c r="M205" t="str">
        <f>TEXT(calls[[#This Row],[Date of Call]],"DDDD")</f>
        <v>السبت</v>
      </c>
      <c r="N205" t="str" cm="1">
        <f t="array" ref="N205">_xlfn.IFS(calls[[#This Row],[Duration]]&lt;=10,"Under 10 mins", calls[[#This Row],[Duration]]&lt;=30, "10 to 30 mins", calls[[#This Row],[Duration]]&lt;=60, "30 to 60 mins", calls[[#This Row],[Duration]]&lt;=120, "1 to 2 hours", TRUE, "More than 2 hours")</f>
        <v>30 to 60 mins</v>
      </c>
      <c r="O205">
        <f>ROUND(calls[[#This Row],[Satisfaction Rating]],0)</f>
        <v>2</v>
      </c>
    </row>
    <row r="206" spans="2:15" x14ac:dyDescent="0.25">
      <c r="B206" t="s">
        <v>227</v>
      </c>
      <c r="C206" t="s">
        <v>16</v>
      </c>
      <c r="D206">
        <f>VLOOKUP(C206,customers[],3,0)</f>
        <v>41</v>
      </c>
      <c r="E206" t="str">
        <f>VLOOKUP(C206,customers[],2,0)</f>
        <v>Male</v>
      </c>
      <c r="F206" t="str">
        <f>VLOOKUP(C206,customers[],4,0)</f>
        <v>Columbus</v>
      </c>
      <c r="G206">
        <v>63</v>
      </c>
      <c r="H206" s="17" t="s">
        <v>12</v>
      </c>
      <c r="I206" s="18">
        <v>44996</v>
      </c>
      <c r="J206">
        <v>42</v>
      </c>
      <c r="K206">
        <v>4</v>
      </c>
      <c r="L206">
        <f>IF(MONTH(calls[[#This Row],[Date of Call]])&lt;=6, YEAR(calls[[#This Row],[Date of Call]]), YEAR(calls[[#This Row],[Date of Call]])+1)</f>
        <v>2023</v>
      </c>
      <c r="M206" t="str">
        <f>TEXT(calls[[#This Row],[Date of Call]],"DDDD")</f>
        <v>السبت</v>
      </c>
      <c r="N206" t="str" cm="1">
        <f t="array" ref="N206">_xlfn.IFS(calls[[#This Row],[Duration]]&lt;=10,"Under 10 mins", calls[[#This Row],[Duration]]&lt;=30, "10 to 30 mins", calls[[#This Row],[Duration]]&lt;=60, "30 to 60 mins", calls[[#This Row],[Duration]]&lt;=120, "1 to 2 hours", TRUE, "More than 2 hours")</f>
        <v>1 to 2 hours</v>
      </c>
      <c r="O206">
        <f>ROUND(calls[[#This Row],[Satisfaction Rating]],0)</f>
        <v>4</v>
      </c>
    </row>
    <row r="207" spans="2:15" x14ac:dyDescent="0.25">
      <c r="B207" t="s">
        <v>228</v>
      </c>
      <c r="C207" t="s">
        <v>21</v>
      </c>
      <c r="D207">
        <f>VLOOKUP(C207,customers[],3,0)</f>
        <v>25</v>
      </c>
      <c r="E207" t="str">
        <f>VLOOKUP(C207,customers[],2,0)</f>
        <v>Female</v>
      </c>
      <c r="F207" t="str">
        <f>VLOOKUP(C207,customers[],4,0)</f>
        <v>Columbus</v>
      </c>
      <c r="G207">
        <v>83</v>
      </c>
      <c r="H207" s="17" t="s">
        <v>12</v>
      </c>
      <c r="I207" s="18">
        <v>44996</v>
      </c>
      <c r="J207">
        <v>42</v>
      </c>
      <c r="K207">
        <v>4.2</v>
      </c>
      <c r="L207">
        <f>IF(MONTH(calls[[#This Row],[Date of Call]])&lt;=6, YEAR(calls[[#This Row],[Date of Call]]), YEAR(calls[[#This Row],[Date of Call]])+1)</f>
        <v>2023</v>
      </c>
      <c r="M207" t="str">
        <f>TEXT(calls[[#This Row],[Date of Call]],"DDDD")</f>
        <v>السبت</v>
      </c>
      <c r="N207" t="str" cm="1">
        <f t="array" ref="N207">_xlfn.IFS(calls[[#This Row],[Duration]]&lt;=10,"Under 10 mins", calls[[#This Row],[Duration]]&lt;=30, "10 to 30 mins", calls[[#This Row],[Duration]]&lt;=60, "30 to 60 mins", calls[[#This Row],[Duration]]&lt;=120, "1 to 2 hours", TRUE, "More than 2 hours")</f>
        <v>1 to 2 hours</v>
      </c>
      <c r="O207">
        <f>ROUND(calls[[#This Row],[Satisfaction Rating]],0)</f>
        <v>4</v>
      </c>
    </row>
    <row r="208" spans="2:15" x14ac:dyDescent="0.25">
      <c r="B208" t="s">
        <v>229</v>
      </c>
      <c r="C208" t="s">
        <v>13</v>
      </c>
      <c r="D208">
        <f>VLOOKUP(C208,customers[],3,0)</f>
        <v>37</v>
      </c>
      <c r="E208" t="str">
        <f>VLOOKUP(C208,customers[],2,0)</f>
        <v>Female</v>
      </c>
      <c r="F208" t="str">
        <f>VLOOKUP(C208,customers[],4,0)</f>
        <v>Cleveland</v>
      </c>
      <c r="G208">
        <v>134</v>
      </c>
      <c r="H208" s="17" t="s">
        <v>9</v>
      </c>
      <c r="I208" s="18">
        <v>44996</v>
      </c>
      <c r="J208">
        <v>180</v>
      </c>
      <c r="K208">
        <v>3.1</v>
      </c>
      <c r="L208">
        <f>IF(MONTH(calls[[#This Row],[Date of Call]])&lt;=6, YEAR(calls[[#This Row],[Date of Call]]), YEAR(calls[[#This Row],[Date of Call]])+1)</f>
        <v>2023</v>
      </c>
      <c r="M208" t="str">
        <f>TEXT(calls[[#This Row],[Date of Call]],"DDDD")</f>
        <v>السبت</v>
      </c>
      <c r="N208" t="str" cm="1">
        <f t="array" ref="N208">_xlfn.IFS(calls[[#This Row],[Duration]]&lt;=10,"Under 10 mins", calls[[#This Row],[Duration]]&lt;=30, "10 to 30 mins", calls[[#This Row],[Duration]]&lt;=60, "30 to 60 mins", calls[[#This Row],[Duration]]&lt;=120, "1 to 2 hours", TRUE, "More than 2 hours")</f>
        <v>More than 2 hours</v>
      </c>
      <c r="O208">
        <f>ROUND(calls[[#This Row],[Satisfaction Rating]],0)</f>
        <v>3</v>
      </c>
    </row>
    <row r="209" spans="2:15" x14ac:dyDescent="0.25">
      <c r="B209" t="s">
        <v>230</v>
      </c>
      <c r="C209" t="s">
        <v>7</v>
      </c>
      <c r="D209">
        <f>VLOOKUP(C209,customers[],3,0)</f>
        <v>30</v>
      </c>
      <c r="E209" t="str">
        <f>VLOOKUP(C209,customers[],2,0)</f>
        <v>Female</v>
      </c>
      <c r="F209" t="str">
        <f>VLOOKUP(C209,customers[],4,0)</f>
        <v>Cincinnati</v>
      </c>
      <c r="G209">
        <v>73</v>
      </c>
      <c r="H209" s="17" t="s">
        <v>12</v>
      </c>
      <c r="I209" s="18">
        <v>44997</v>
      </c>
      <c r="J209">
        <v>34</v>
      </c>
      <c r="K209">
        <v>4.8</v>
      </c>
      <c r="L209">
        <f>IF(MONTH(calls[[#This Row],[Date of Call]])&lt;=6, YEAR(calls[[#This Row],[Date of Call]]), YEAR(calls[[#This Row],[Date of Call]])+1)</f>
        <v>2023</v>
      </c>
      <c r="M209" t="str">
        <f>TEXT(calls[[#This Row],[Date of Call]],"DDDD")</f>
        <v>الأحد</v>
      </c>
      <c r="N209" t="str" cm="1">
        <f t="array" ref="N209">_xlfn.IFS(calls[[#This Row],[Duration]]&lt;=10,"Under 10 mins", calls[[#This Row],[Duration]]&lt;=30, "10 to 30 mins", calls[[#This Row],[Duration]]&lt;=60, "30 to 60 mins", calls[[#This Row],[Duration]]&lt;=120, "1 to 2 hours", TRUE, "More than 2 hours")</f>
        <v>1 to 2 hours</v>
      </c>
      <c r="O209">
        <f>ROUND(calls[[#This Row],[Satisfaction Rating]],0)</f>
        <v>5</v>
      </c>
    </row>
    <row r="210" spans="2:15" x14ac:dyDescent="0.25">
      <c r="B210" t="s">
        <v>231</v>
      </c>
      <c r="C210" t="s">
        <v>4</v>
      </c>
      <c r="D210">
        <f>VLOOKUP(C210,customers[],3,0)</f>
        <v>42</v>
      </c>
      <c r="E210" t="str">
        <f>VLOOKUP(C210,customers[],2,0)</f>
        <v>Female</v>
      </c>
      <c r="F210" t="str">
        <f>VLOOKUP(C210,customers[],4,0)</f>
        <v>Cleveland</v>
      </c>
      <c r="G210">
        <v>6</v>
      </c>
      <c r="H210" s="17" t="s">
        <v>5</v>
      </c>
      <c r="I210" s="18">
        <v>44997</v>
      </c>
      <c r="J210">
        <v>29</v>
      </c>
      <c r="K210">
        <v>4.7</v>
      </c>
      <c r="L210">
        <f>IF(MONTH(calls[[#This Row],[Date of Call]])&lt;=6, YEAR(calls[[#This Row],[Date of Call]]), YEAR(calls[[#This Row],[Date of Call]])+1)</f>
        <v>2023</v>
      </c>
      <c r="M210" t="str">
        <f>TEXT(calls[[#This Row],[Date of Call]],"DDDD")</f>
        <v>الأحد</v>
      </c>
      <c r="N210" t="str" cm="1">
        <f t="array" ref="N210">_xlfn.IFS(calls[[#This Row],[Duration]]&lt;=10,"Under 10 mins", calls[[#This Row],[Duration]]&lt;=30, "10 to 30 mins", calls[[#This Row],[Duration]]&lt;=60, "30 to 60 mins", calls[[#This Row],[Duration]]&lt;=120, "1 to 2 hours", TRUE, "More than 2 hours")</f>
        <v>Under 10 mins</v>
      </c>
      <c r="O210">
        <f>ROUND(calls[[#This Row],[Satisfaction Rating]],0)</f>
        <v>5</v>
      </c>
    </row>
    <row r="211" spans="2:15" x14ac:dyDescent="0.25">
      <c r="B211" t="s">
        <v>232</v>
      </c>
      <c r="C211" t="s">
        <v>15</v>
      </c>
      <c r="D211">
        <f>VLOOKUP(C211,customers[],3,0)</f>
        <v>28</v>
      </c>
      <c r="E211" t="str">
        <f>VLOOKUP(C211,customers[],2,0)</f>
        <v>Female</v>
      </c>
      <c r="F211" t="str">
        <f>VLOOKUP(C211,customers[],4,0)</f>
        <v>Cincinnati</v>
      </c>
      <c r="G211">
        <v>46</v>
      </c>
      <c r="H211" s="17" t="s">
        <v>8</v>
      </c>
      <c r="I211" s="18">
        <v>44997</v>
      </c>
      <c r="J211">
        <v>165</v>
      </c>
      <c r="K211">
        <v>3.3</v>
      </c>
      <c r="L211">
        <f>IF(MONTH(calls[[#This Row],[Date of Call]])&lt;=6, YEAR(calls[[#This Row],[Date of Call]]), YEAR(calls[[#This Row],[Date of Call]])+1)</f>
        <v>2023</v>
      </c>
      <c r="M211" t="str">
        <f>TEXT(calls[[#This Row],[Date of Call]],"DDDD")</f>
        <v>الأحد</v>
      </c>
      <c r="N211" t="str" cm="1">
        <f t="array" ref="N211">_xlfn.IFS(calls[[#This Row],[Duration]]&lt;=10,"Under 10 mins", calls[[#This Row],[Duration]]&lt;=30, "10 to 30 mins", calls[[#This Row],[Duration]]&lt;=60, "30 to 60 mins", calls[[#This Row],[Duration]]&lt;=120, "1 to 2 hours", TRUE, "More than 2 hours")</f>
        <v>30 to 60 mins</v>
      </c>
      <c r="O211">
        <f>ROUND(calls[[#This Row],[Satisfaction Rating]],0)</f>
        <v>3</v>
      </c>
    </row>
    <row r="212" spans="2:15" x14ac:dyDescent="0.25">
      <c r="B212" t="s">
        <v>233</v>
      </c>
      <c r="C212" t="s">
        <v>4</v>
      </c>
      <c r="D212">
        <f>VLOOKUP(C212,customers[],3,0)</f>
        <v>42</v>
      </c>
      <c r="E212" t="str">
        <f>VLOOKUP(C212,customers[],2,0)</f>
        <v>Female</v>
      </c>
      <c r="F212" t="str">
        <f>VLOOKUP(C212,customers[],4,0)</f>
        <v>Cleveland</v>
      </c>
      <c r="G212">
        <v>121</v>
      </c>
      <c r="H212" s="17" t="s">
        <v>12</v>
      </c>
      <c r="I212" s="18">
        <v>44998</v>
      </c>
      <c r="J212">
        <v>32</v>
      </c>
      <c r="K212">
        <v>3.7</v>
      </c>
      <c r="L212">
        <f>IF(MONTH(calls[[#This Row],[Date of Call]])&lt;=6, YEAR(calls[[#This Row],[Date of Call]]), YEAR(calls[[#This Row],[Date of Call]])+1)</f>
        <v>2023</v>
      </c>
      <c r="M212" t="str">
        <f>TEXT(calls[[#This Row],[Date of Call]],"DDDD")</f>
        <v>الإثنين</v>
      </c>
      <c r="N212" t="str" cm="1">
        <f t="array" ref="N212">_xlfn.IFS(calls[[#This Row],[Duration]]&lt;=10,"Under 10 mins", calls[[#This Row],[Duration]]&lt;=30, "10 to 30 mins", calls[[#This Row],[Duration]]&lt;=60, "30 to 60 mins", calls[[#This Row],[Duration]]&lt;=120, "1 to 2 hours", TRUE, "More than 2 hours")</f>
        <v>More than 2 hours</v>
      </c>
      <c r="O212">
        <f>ROUND(calls[[#This Row],[Satisfaction Rating]],0)</f>
        <v>4</v>
      </c>
    </row>
    <row r="213" spans="2:15" x14ac:dyDescent="0.25">
      <c r="B213" t="s">
        <v>234</v>
      </c>
      <c r="C213" t="s">
        <v>16</v>
      </c>
      <c r="D213">
        <f>VLOOKUP(C213,customers[],3,0)</f>
        <v>41</v>
      </c>
      <c r="E213" t="str">
        <f>VLOOKUP(C213,customers[],2,0)</f>
        <v>Male</v>
      </c>
      <c r="F213" t="str">
        <f>VLOOKUP(C213,customers[],4,0)</f>
        <v>Columbus</v>
      </c>
      <c r="G213">
        <v>61</v>
      </c>
      <c r="H213" s="17" t="s">
        <v>10</v>
      </c>
      <c r="I213" s="18">
        <v>44998</v>
      </c>
      <c r="J213">
        <v>160</v>
      </c>
      <c r="K213">
        <v>4.9000000000000004</v>
      </c>
      <c r="L213">
        <f>IF(MONTH(calls[[#This Row],[Date of Call]])&lt;=6, YEAR(calls[[#This Row],[Date of Call]]), YEAR(calls[[#This Row],[Date of Call]])+1)</f>
        <v>2023</v>
      </c>
      <c r="M213" t="str">
        <f>TEXT(calls[[#This Row],[Date of Call]],"DDDD")</f>
        <v>الإثنين</v>
      </c>
      <c r="N213" t="str" cm="1">
        <f t="array" ref="N213">_xlfn.IFS(calls[[#This Row],[Duration]]&lt;=10,"Under 10 mins", calls[[#This Row],[Duration]]&lt;=30, "10 to 30 mins", calls[[#This Row],[Duration]]&lt;=60, "30 to 60 mins", calls[[#This Row],[Duration]]&lt;=120, "1 to 2 hours", TRUE, "More than 2 hours")</f>
        <v>1 to 2 hours</v>
      </c>
      <c r="O213">
        <f>ROUND(calls[[#This Row],[Satisfaction Rating]],0)</f>
        <v>5</v>
      </c>
    </row>
    <row r="214" spans="2:15" x14ac:dyDescent="0.25">
      <c r="B214" t="s">
        <v>235</v>
      </c>
      <c r="C214" t="s">
        <v>13</v>
      </c>
      <c r="D214">
        <f>VLOOKUP(C214,customers[],3,0)</f>
        <v>37</v>
      </c>
      <c r="E214" t="str">
        <f>VLOOKUP(C214,customers[],2,0)</f>
        <v>Female</v>
      </c>
      <c r="F214" t="str">
        <f>VLOOKUP(C214,customers[],4,0)</f>
        <v>Cleveland</v>
      </c>
      <c r="G214">
        <v>144</v>
      </c>
      <c r="H214" s="17" t="s">
        <v>9</v>
      </c>
      <c r="I214" s="18">
        <v>44998</v>
      </c>
      <c r="J214">
        <v>140</v>
      </c>
      <c r="K214">
        <v>3.5</v>
      </c>
      <c r="L214">
        <f>IF(MONTH(calls[[#This Row],[Date of Call]])&lt;=6, YEAR(calls[[#This Row],[Date of Call]]), YEAR(calls[[#This Row],[Date of Call]])+1)</f>
        <v>2023</v>
      </c>
      <c r="M214" t="str">
        <f>TEXT(calls[[#This Row],[Date of Call]],"DDDD")</f>
        <v>الإثنين</v>
      </c>
      <c r="N214" t="str" cm="1">
        <f t="array" ref="N214">_xlfn.IFS(calls[[#This Row],[Duration]]&lt;=10,"Under 10 mins", calls[[#This Row],[Duration]]&lt;=30, "10 to 30 mins", calls[[#This Row],[Duration]]&lt;=60, "30 to 60 mins", calls[[#This Row],[Duration]]&lt;=120, "1 to 2 hours", TRUE, "More than 2 hours")</f>
        <v>More than 2 hours</v>
      </c>
      <c r="O214">
        <f>ROUND(calls[[#This Row],[Satisfaction Rating]],0)</f>
        <v>4</v>
      </c>
    </row>
    <row r="215" spans="2:15" x14ac:dyDescent="0.25">
      <c r="B215" t="s">
        <v>236</v>
      </c>
      <c r="C215" t="s">
        <v>15</v>
      </c>
      <c r="D215">
        <f>VLOOKUP(C215,customers[],3,0)</f>
        <v>28</v>
      </c>
      <c r="E215" t="str">
        <f>VLOOKUP(C215,customers[],2,0)</f>
        <v>Female</v>
      </c>
      <c r="F215" t="str">
        <f>VLOOKUP(C215,customers[],4,0)</f>
        <v>Cincinnati</v>
      </c>
      <c r="G215">
        <v>145</v>
      </c>
      <c r="H215" s="17" t="s">
        <v>9</v>
      </c>
      <c r="I215" s="18">
        <v>44998</v>
      </c>
      <c r="J215">
        <v>136</v>
      </c>
      <c r="K215">
        <v>4.4000000000000004</v>
      </c>
      <c r="L215">
        <f>IF(MONTH(calls[[#This Row],[Date of Call]])&lt;=6, YEAR(calls[[#This Row],[Date of Call]]), YEAR(calls[[#This Row],[Date of Call]])+1)</f>
        <v>2023</v>
      </c>
      <c r="M215" t="str">
        <f>TEXT(calls[[#This Row],[Date of Call]],"DDDD")</f>
        <v>الإثنين</v>
      </c>
      <c r="N215" t="str" cm="1">
        <f t="array" ref="N215">_xlfn.IFS(calls[[#This Row],[Duration]]&lt;=10,"Under 10 mins", calls[[#This Row],[Duration]]&lt;=30, "10 to 30 mins", calls[[#This Row],[Duration]]&lt;=60, "30 to 60 mins", calls[[#This Row],[Duration]]&lt;=120, "1 to 2 hours", TRUE, "More than 2 hours")</f>
        <v>More than 2 hours</v>
      </c>
      <c r="O215">
        <f>ROUND(calls[[#This Row],[Satisfaction Rating]],0)</f>
        <v>4</v>
      </c>
    </row>
    <row r="216" spans="2:15" x14ac:dyDescent="0.25">
      <c r="B216" t="s">
        <v>237</v>
      </c>
      <c r="C216" t="s">
        <v>22</v>
      </c>
      <c r="D216">
        <f>VLOOKUP(C216,customers[],3,0)</f>
        <v>37</v>
      </c>
      <c r="E216" t="str">
        <f>VLOOKUP(C216,customers[],2,0)</f>
        <v>Male</v>
      </c>
      <c r="F216" t="str">
        <f>VLOOKUP(C216,customers[],4,0)</f>
        <v>Columbus</v>
      </c>
      <c r="G216">
        <v>85</v>
      </c>
      <c r="H216" s="17" t="s">
        <v>5</v>
      </c>
      <c r="I216" s="18">
        <v>44998</v>
      </c>
      <c r="J216">
        <v>66</v>
      </c>
      <c r="K216">
        <v>2.8</v>
      </c>
      <c r="L216">
        <f>IF(MONTH(calls[[#This Row],[Date of Call]])&lt;=6, YEAR(calls[[#This Row],[Date of Call]]), YEAR(calls[[#This Row],[Date of Call]])+1)</f>
        <v>2023</v>
      </c>
      <c r="M216" t="str">
        <f>TEXT(calls[[#This Row],[Date of Call]],"DDDD")</f>
        <v>الإثنين</v>
      </c>
      <c r="N216" t="str" cm="1">
        <f t="array" ref="N216">_xlfn.IFS(calls[[#This Row],[Duration]]&lt;=10,"Under 10 mins", calls[[#This Row],[Duration]]&lt;=30, "10 to 30 mins", calls[[#This Row],[Duration]]&lt;=60, "30 to 60 mins", calls[[#This Row],[Duration]]&lt;=120, "1 to 2 hours", TRUE, "More than 2 hours")</f>
        <v>1 to 2 hours</v>
      </c>
      <c r="O216">
        <f>ROUND(calls[[#This Row],[Satisfaction Rating]],0)</f>
        <v>3</v>
      </c>
    </row>
    <row r="217" spans="2:15" x14ac:dyDescent="0.25">
      <c r="B217" t="s">
        <v>238</v>
      </c>
      <c r="C217" t="s">
        <v>15</v>
      </c>
      <c r="D217">
        <f>VLOOKUP(C217,customers[],3,0)</f>
        <v>28</v>
      </c>
      <c r="E217" t="str">
        <f>VLOOKUP(C217,customers[],2,0)</f>
        <v>Female</v>
      </c>
      <c r="F217" t="str">
        <f>VLOOKUP(C217,customers[],4,0)</f>
        <v>Cincinnati</v>
      </c>
      <c r="G217">
        <v>13</v>
      </c>
      <c r="H217" s="17" t="s">
        <v>10</v>
      </c>
      <c r="I217" s="18">
        <v>44999</v>
      </c>
      <c r="J217">
        <v>63</v>
      </c>
      <c r="K217">
        <v>4.0999999999999996</v>
      </c>
      <c r="L217">
        <f>IF(MONTH(calls[[#This Row],[Date of Call]])&lt;=6, YEAR(calls[[#This Row],[Date of Call]]), YEAR(calls[[#This Row],[Date of Call]])+1)</f>
        <v>2023</v>
      </c>
      <c r="M217" t="str">
        <f>TEXT(calls[[#This Row],[Date of Call]],"DDDD")</f>
        <v>الثلاثاء</v>
      </c>
      <c r="N217" t="str" cm="1">
        <f t="array" ref="N217">_xlfn.IFS(calls[[#This Row],[Duration]]&lt;=10,"Under 10 mins", calls[[#This Row],[Duration]]&lt;=30, "10 to 30 mins", calls[[#This Row],[Duration]]&lt;=60, "30 to 60 mins", calls[[#This Row],[Duration]]&lt;=120, "1 to 2 hours", TRUE, "More than 2 hours")</f>
        <v>10 to 30 mins</v>
      </c>
      <c r="O217">
        <f>ROUND(calls[[#This Row],[Satisfaction Rating]],0)</f>
        <v>4</v>
      </c>
    </row>
    <row r="218" spans="2:15" x14ac:dyDescent="0.25">
      <c r="B218" t="s">
        <v>239</v>
      </c>
      <c r="C218" t="s">
        <v>19</v>
      </c>
      <c r="D218">
        <f>VLOOKUP(C218,customers[],3,0)</f>
        <v>26</v>
      </c>
      <c r="E218" t="str">
        <f>VLOOKUP(C218,customers[],2,0)</f>
        <v>Male</v>
      </c>
      <c r="F218" t="str">
        <f>VLOOKUP(C218,customers[],4,0)</f>
        <v>Cincinnati</v>
      </c>
      <c r="G218">
        <v>142</v>
      </c>
      <c r="H218" s="17" t="s">
        <v>12</v>
      </c>
      <c r="I218" s="18">
        <v>44999</v>
      </c>
      <c r="J218">
        <v>44</v>
      </c>
      <c r="K218">
        <v>3.5</v>
      </c>
      <c r="L218">
        <f>IF(MONTH(calls[[#This Row],[Date of Call]])&lt;=6, YEAR(calls[[#This Row],[Date of Call]]), YEAR(calls[[#This Row],[Date of Call]])+1)</f>
        <v>2023</v>
      </c>
      <c r="M218" t="str">
        <f>TEXT(calls[[#This Row],[Date of Call]],"DDDD")</f>
        <v>الثلاثاء</v>
      </c>
      <c r="N218" t="str" cm="1">
        <f t="array" ref="N218">_xlfn.IFS(calls[[#This Row],[Duration]]&lt;=10,"Under 10 mins", calls[[#This Row],[Duration]]&lt;=30, "10 to 30 mins", calls[[#This Row],[Duration]]&lt;=60, "30 to 60 mins", calls[[#This Row],[Duration]]&lt;=120, "1 to 2 hours", TRUE, "More than 2 hours")</f>
        <v>More than 2 hours</v>
      </c>
      <c r="O218">
        <f>ROUND(calls[[#This Row],[Satisfaction Rating]],0)</f>
        <v>4</v>
      </c>
    </row>
    <row r="219" spans="2:15" x14ac:dyDescent="0.25">
      <c r="B219" t="s">
        <v>240</v>
      </c>
      <c r="C219" t="s">
        <v>13</v>
      </c>
      <c r="D219">
        <f>VLOOKUP(C219,customers[],3,0)</f>
        <v>37</v>
      </c>
      <c r="E219" t="str">
        <f>VLOOKUP(C219,customers[],2,0)</f>
        <v>Female</v>
      </c>
      <c r="F219" t="str">
        <f>VLOOKUP(C219,customers[],4,0)</f>
        <v>Cleveland</v>
      </c>
      <c r="G219">
        <v>28</v>
      </c>
      <c r="H219" s="17" t="s">
        <v>8</v>
      </c>
      <c r="I219" s="18">
        <v>44999</v>
      </c>
      <c r="J219">
        <v>78</v>
      </c>
      <c r="K219">
        <v>3.8</v>
      </c>
      <c r="L219">
        <f>IF(MONTH(calls[[#This Row],[Date of Call]])&lt;=6, YEAR(calls[[#This Row],[Date of Call]]), YEAR(calls[[#This Row],[Date of Call]])+1)</f>
        <v>2023</v>
      </c>
      <c r="M219" t="str">
        <f>TEXT(calls[[#This Row],[Date of Call]],"DDDD")</f>
        <v>الثلاثاء</v>
      </c>
      <c r="N219" t="str" cm="1">
        <f t="array" ref="N219">_xlfn.IFS(calls[[#This Row],[Duration]]&lt;=10,"Under 10 mins", calls[[#This Row],[Duration]]&lt;=30, "10 to 30 mins", calls[[#This Row],[Duration]]&lt;=60, "30 to 60 mins", calls[[#This Row],[Duration]]&lt;=120, "1 to 2 hours", TRUE, "More than 2 hours")</f>
        <v>10 to 30 mins</v>
      </c>
      <c r="O219">
        <f>ROUND(calls[[#This Row],[Satisfaction Rating]],0)</f>
        <v>4</v>
      </c>
    </row>
    <row r="220" spans="2:15" x14ac:dyDescent="0.25">
      <c r="B220" t="s">
        <v>241</v>
      </c>
      <c r="C220" t="s">
        <v>13</v>
      </c>
      <c r="D220">
        <f>VLOOKUP(C220,customers[],3,0)</f>
        <v>37</v>
      </c>
      <c r="E220" t="str">
        <f>VLOOKUP(C220,customers[],2,0)</f>
        <v>Female</v>
      </c>
      <c r="F220" t="str">
        <f>VLOOKUP(C220,customers[],4,0)</f>
        <v>Cleveland</v>
      </c>
      <c r="G220">
        <v>119</v>
      </c>
      <c r="H220" s="17" t="s">
        <v>12</v>
      </c>
      <c r="I220" s="18">
        <v>44999</v>
      </c>
      <c r="J220">
        <v>20</v>
      </c>
      <c r="K220">
        <v>3.9</v>
      </c>
      <c r="L220">
        <f>IF(MONTH(calls[[#This Row],[Date of Call]])&lt;=6, YEAR(calls[[#This Row],[Date of Call]]), YEAR(calls[[#This Row],[Date of Call]])+1)</f>
        <v>2023</v>
      </c>
      <c r="M220" t="str">
        <f>TEXT(calls[[#This Row],[Date of Call]],"DDDD")</f>
        <v>الثلاثاء</v>
      </c>
      <c r="N220" t="str" cm="1">
        <f t="array" ref="N220">_xlfn.IFS(calls[[#This Row],[Duration]]&lt;=10,"Under 10 mins", calls[[#This Row],[Duration]]&lt;=30, "10 to 30 mins", calls[[#This Row],[Duration]]&lt;=60, "30 to 60 mins", calls[[#This Row],[Duration]]&lt;=120, "1 to 2 hours", TRUE, "More than 2 hours")</f>
        <v>1 to 2 hours</v>
      </c>
      <c r="O220">
        <f>ROUND(calls[[#This Row],[Satisfaction Rating]],0)</f>
        <v>4</v>
      </c>
    </row>
    <row r="221" spans="2:15" x14ac:dyDescent="0.25">
      <c r="B221" t="s">
        <v>242</v>
      </c>
      <c r="C221" t="s">
        <v>4</v>
      </c>
      <c r="D221">
        <f>VLOOKUP(C221,customers[],3,0)</f>
        <v>42</v>
      </c>
      <c r="E221" t="str">
        <f>VLOOKUP(C221,customers[],2,0)</f>
        <v>Female</v>
      </c>
      <c r="F221" t="str">
        <f>VLOOKUP(C221,customers[],4,0)</f>
        <v>Cleveland</v>
      </c>
      <c r="G221">
        <v>65</v>
      </c>
      <c r="H221" s="17" t="s">
        <v>5</v>
      </c>
      <c r="I221" s="18">
        <v>44999</v>
      </c>
      <c r="J221">
        <v>84</v>
      </c>
      <c r="K221">
        <v>2.5</v>
      </c>
      <c r="L221">
        <f>IF(MONTH(calls[[#This Row],[Date of Call]])&lt;=6, YEAR(calls[[#This Row],[Date of Call]]), YEAR(calls[[#This Row],[Date of Call]])+1)</f>
        <v>2023</v>
      </c>
      <c r="M221" t="str">
        <f>TEXT(calls[[#This Row],[Date of Call]],"DDDD")</f>
        <v>الثلاثاء</v>
      </c>
      <c r="N221" t="str" cm="1">
        <f t="array" ref="N221">_xlfn.IFS(calls[[#This Row],[Duration]]&lt;=10,"Under 10 mins", calls[[#This Row],[Duration]]&lt;=30, "10 to 30 mins", calls[[#This Row],[Duration]]&lt;=60, "30 to 60 mins", calls[[#This Row],[Duration]]&lt;=120, "1 to 2 hours", TRUE, "More than 2 hours")</f>
        <v>1 to 2 hours</v>
      </c>
      <c r="O221">
        <f>ROUND(calls[[#This Row],[Satisfaction Rating]],0)</f>
        <v>3</v>
      </c>
    </row>
    <row r="222" spans="2:15" x14ac:dyDescent="0.25">
      <c r="B222" t="s">
        <v>243</v>
      </c>
      <c r="C222" t="s">
        <v>23</v>
      </c>
      <c r="D222">
        <f>VLOOKUP(C222,customers[],3,0)</f>
        <v>31</v>
      </c>
      <c r="E222" t="str">
        <f>VLOOKUP(C222,customers[],2,0)</f>
        <v>Male</v>
      </c>
      <c r="F222" t="str">
        <f>VLOOKUP(C222,customers[],4,0)</f>
        <v>Cleveland</v>
      </c>
      <c r="G222">
        <v>68</v>
      </c>
      <c r="H222" s="17" t="s">
        <v>5</v>
      </c>
      <c r="I222" s="18">
        <v>44999</v>
      </c>
      <c r="J222">
        <v>32</v>
      </c>
      <c r="K222">
        <v>4.9000000000000004</v>
      </c>
      <c r="L222">
        <f>IF(MONTH(calls[[#This Row],[Date of Call]])&lt;=6, YEAR(calls[[#This Row],[Date of Call]]), YEAR(calls[[#This Row],[Date of Call]])+1)</f>
        <v>2023</v>
      </c>
      <c r="M222" t="str">
        <f>TEXT(calls[[#This Row],[Date of Call]],"DDDD")</f>
        <v>الثلاثاء</v>
      </c>
      <c r="N222" t="str" cm="1">
        <f t="array" ref="N222">_xlfn.IFS(calls[[#This Row],[Duration]]&lt;=10,"Under 10 mins", calls[[#This Row],[Duration]]&lt;=30, "10 to 30 mins", calls[[#This Row],[Duration]]&lt;=60, "30 to 60 mins", calls[[#This Row],[Duration]]&lt;=120, "1 to 2 hours", TRUE, "More than 2 hours")</f>
        <v>1 to 2 hours</v>
      </c>
      <c r="O222">
        <f>ROUND(calls[[#This Row],[Satisfaction Rating]],0)</f>
        <v>5</v>
      </c>
    </row>
    <row r="223" spans="2:15" x14ac:dyDescent="0.25">
      <c r="B223" t="s">
        <v>244</v>
      </c>
      <c r="C223" t="s">
        <v>21</v>
      </c>
      <c r="D223">
        <f>VLOOKUP(C223,customers[],3,0)</f>
        <v>25</v>
      </c>
      <c r="E223" t="str">
        <f>VLOOKUP(C223,customers[],2,0)</f>
        <v>Female</v>
      </c>
      <c r="F223" t="str">
        <f>VLOOKUP(C223,customers[],4,0)</f>
        <v>Columbus</v>
      </c>
      <c r="G223">
        <v>72</v>
      </c>
      <c r="H223" s="17" t="s">
        <v>8</v>
      </c>
      <c r="I223" s="18">
        <v>44999</v>
      </c>
      <c r="J223">
        <v>132</v>
      </c>
      <c r="K223">
        <v>3.4</v>
      </c>
      <c r="L223">
        <f>IF(MONTH(calls[[#This Row],[Date of Call]])&lt;=6, YEAR(calls[[#This Row],[Date of Call]]), YEAR(calls[[#This Row],[Date of Call]])+1)</f>
        <v>2023</v>
      </c>
      <c r="M223" t="str">
        <f>TEXT(calls[[#This Row],[Date of Call]],"DDDD")</f>
        <v>الثلاثاء</v>
      </c>
      <c r="N223" t="str" cm="1">
        <f t="array" ref="N223">_xlfn.IFS(calls[[#This Row],[Duration]]&lt;=10,"Under 10 mins", calls[[#This Row],[Duration]]&lt;=30, "10 to 30 mins", calls[[#This Row],[Duration]]&lt;=60, "30 to 60 mins", calls[[#This Row],[Duration]]&lt;=120, "1 to 2 hours", TRUE, "More than 2 hours")</f>
        <v>1 to 2 hours</v>
      </c>
      <c r="O223">
        <f>ROUND(calls[[#This Row],[Satisfaction Rating]],0)</f>
        <v>3</v>
      </c>
    </row>
    <row r="224" spans="2:15" x14ac:dyDescent="0.25">
      <c r="B224" t="s">
        <v>245</v>
      </c>
      <c r="C224" t="s">
        <v>21</v>
      </c>
      <c r="D224">
        <f>VLOOKUP(C224,customers[],3,0)</f>
        <v>25</v>
      </c>
      <c r="E224" t="str">
        <f>VLOOKUP(C224,customers[],2,0)</f>
        <v>Female</v>
      </c>
      <c r="F224" t="str">
        <f>VLOOKUP(C224,customers[],4,0)</f>
        <v>Columbus</v>
      </c>
      <c r="G224">
        <v>63</v>
      </c>
      <c r="H224" s="17" t="s">
        <v>9</v>
      </c>
      <c r="I224" s="18">
        <v>44999</v>
      </c>
      <c r="J224">
        <v>105</v>
      </c>
      <c r="K224">
        <v>3.3</v>
      </c>
      <c r="L224">
        <f>IF(MONTH(calls[[#This Row],[Date of Call]])&lt;=6, YEAR(calls[[#This Row],[Date of Call]]), YEAR(calls[[#This Row],[Date of Call]])+1)</f>
        <v>2023</v>
      </c>
      <c r="M224" t="str">
        <f>TEXT(calls[[#This Row],[Date of Call]],"DDDD")</f>
        <v>الثلاثاء</v>
      </c>
      <c r="N224" t="str" cm="1">
        <f t="array" ref="N224">_xlfn.IFS(calls[[#This Row],[Duration]]&lt;=10,"Under 10 mins", calls[[#This Row],[Duration]]&lt;=30, "10 to 30 mins", calls[[#This Row],[Duration]]&lt;=60, "30 to 60 mins", calls[[#This Row],[Duration]]&lt;=120, "1 to 2 hours", TRUE, "More than 2 hours")</f>
        <v>1 to 2 hours</v>
      </c>
      <c r="O224">
        <f>ROUND(calls[[#This Row],[Satisfaction Rating]],0)</f>
        <v>3</v>
      </c>
    </row>
    <row r="225" spans="2:15" x14ac:dyDescent="0.25">
      <c r="B225" t="s">
        <v>246</v>
      </c>
      <c r="C225" t="s">
        <v>11</v>
      </c>
      <c r="D225">
        <f>VLOOKUP(C225,customers[],3,0)</f>
        <v>36</v>
      </c>
      <c r="E225" t="str">
        <f>VLOOKUP(C225,customers[],2,0)</f>
        <v>Male</v>
      </c>
      <c r="F225" t="str">
        <f>VLOOKUP(C225,customers[],4,0)</f>
        <v>Cincinnati</v>
      </c>
      <c r="G225">
        <v>139</v>
      </c>
      <c r="H225" s="17" t="s">
        <v>12</v>
      </c>
      <c r="I225" s="18">
        <v>45000</v>
      </c>
      <c r="J225">
        <v>48</v>
      </c>
      <c r="K225">
        <v>4.7</v>
      </c>
      <c r="L225">
        <f>IF(MONTH(calls[[#This Row],[Date of Call]])&lt;=6, YEAR(calls[[#This Row],[Date of Call]]), YEAR(calls[[#This Row],[Date of Call]])+1)</f>
        <v>2023</v>
      </c>
      <c r="M225" t="str">
        <f>TEXT(calls[[#This Row],[Date of Call]],"DDDD")</f>
        <v>الأربعاء</v>
      </c>
      <c r="N225" t="str" cm="1">
        <f t="array" ref="N225">_xlfn.IFS(calls[[#This Row],[Duration]]&lt;=10,"Under 10 mins", calls[[#This Row],[Duration]]&lt;=30, "10 to 30 mins", calls[[#This Row],[Duration]]&lt;=60, "30 to 60 mins", calls[[#This Row],[Duration]]&lt;=120, "1 to 2 hours", TRUE, "More than 2 hours")</f>
        <v>More than 2 hours</v>
      </c>
      <c r="O225">
        <f>ROUND(calls[[#This Row],[Satisfaction Rating]],0)</f>
        <v>5</v>
      </c>
    </row>
    <row r="226" spans="2:15" x14ac:dyDescent="0.25">
      <c r="B226" t="s">
        <v>247</v>
      </c>
      <c r="C226" t="s">
        <v>13</v>
      </c>
      <c r="D226">
        <f>VLOOKUP(C226,customers[],3,0)</f>
        <v>37</v>
      </c>
      <c r="E226" t="str">
        <f>VLOOKUP(C226,customers[],2,0)</f>
        <v>Female</v>
      </c>
      <c r="F226" t="str">
        <f>VLOOKUP(C226,customers[],4,0)</f>
        <v>Cleveland</v>
      </c>
      <c r="G226">
        <v>59</v>
      </c>
      <c r="H226" s="17" t="s">
        <v>12</v>
      </c>
      <c r="I226" s="18">
        <v>45000</v>
      </c>
      <c r="J226">
        <v>64</v>
      </c>
      <c r="K226">
        <v>4</v>
      </c>
      <c r="L226">
        <f>IF(MONTH(calls[[#This Row],[Date of Call]])&lt;=6, YEAR(calls[[#This Row],[Date of Call]]), YEAR(calls[[#This Row],[Date of Call]])+1)</f>
        <v>2023</v>
      </c>
      <c r="M226" t="str">
        <f>TEXT(calls[[#This Row],[Date of Call]],"DDDD")</f>
        <v>الأربعاء</v>
      </c>
      <c r="N226" t="str" cm="1">
        <f t="array" ref="N226">_xlfn.IFS(calls[[#This Row],[Duration]]&lt;=10,"Under 10 mins", calls[[#This Row],[Duration]]&lt;=30, "10 to 30 mins", calls[[#This Row],[Duration]]&lt;=60, "30 to 60 mins", calls[[#This Row],[Duration]]&lt;=120, "1 to 2 hours", TRUE, "More than 2 hours")</f>
        <v>30 to 60 mins</v>
      </c>
      <c r="O226">
        <f>ROUND(calls[[#This Row],[Satisfaction Rating]],0)</f>
        <v>4</v>
      </c>
    </row>
    <row r="227" spans="2:15" x14ac:dyDescent="0.25">
      <c r="B227" t="s">
        <v>248</v>
      </c>
      <c r="C227" t="s">
        <v>6</v>
      </c>
      <c r="D227">
        <f>VLOOKUP(C227,customers[],3,0)</f>
        <v>23</v>
      </c>
      <c r="E227" t="str">
        <f>VLOOKUP(C227,customers[],2,0)</f>
        <v>Male</v>
      </c>
      <c r="F227" t="str">
        <f>VLOOKUP(C227,customers[],4,0)</f>
        <v>Columbus</v>
      </c>
      <c r="G227">
        <v>138</v>
      </c>
      <c r="H227" s="17" t="s">
        <v>9</v>
      </c>
      <c r="I227" s="18">
        <v>45000</v>
      </c>
      <c r="J227">
        <v>44</v>
      </c>
      <c r="K227">
        <v>3.8</v>
      </c>
      <c r="L227">
        <f>IF(MONTH(calls[[#This Row],[Date of Call]])&lt;=6, YEAR(calls[[#This Row],[Date of Call]]), YEAR(calls[[#This Row],[Date of Call]])+1)</f>
        <v>2023</v>
      </c>
      <c r="M227" t="str">
        <f>TEXT(calls[[#This Row],[Date of Call]],"DDDD")</f>
        <v>الأربعاء</v>
      </c>
      <c r="N227" t="str" cm="1">
        <f t="array" ref="N227">_xlfn.IFS(calls[[#This Row],[Duration]]&lt;=10,"Under 10 mins", calls[[#This Row],[Duration]]&lt;=30, "10 to 30 mins", calls[[#This Row],[Duration]]&lt;=60, "30 to 60 mins", calls[[#This Row],[Duration]]&lt;=120, "1 to 2 hours", TRUE, "More than 2 hours")</f>
        <v>More than 2 hours</v>
      </c>
      <c r="O227">
        <f>ROUND(calls[[#This Row],[Satisfaction Rating]],0)</f>
        <v>4</v>
      </c>
    </row>
    <row r="228" spans="2:15" x14ac:dyDescent="0.25">
      <c r="B228" t="s">
        <v>249</v>
      </c>
      <c r="C228" t="s">
        <v>11</v>
      </c>
      <c r="D228">
        <f>VLOOKUP(C228,customers[],3,0)</f>
        <v>36</v>
      </c>
      <c r="E228" t="str">
        <f>VLOOKUP(C228,customers[],2,0)</f>
        <v>Male</v>
      </c>
      <c r="F228" t="str">
        <f>VLOOKUP(C228,customers[],4,0)</f>
        <v>Cincinnati</v>
      </c>
      <c r="G228">
        <v>47</v>
      </c>
      <c r="H228" s="17" t="s">
        <v>8</v>
      </c>
      <c r="I228" s="18">
        <v>45000</v>
      </c>
      <c r="J228">
        <v>120</v>
      </c>
      <c r="K228">
        <v>3.1</v>
      </c>
      <c r="L228">
        <f>IF(MONTH(calls[[#This Row],[Date of Call]])&lt;=6, YEAR(calls[[#This Row],[Date of Call]]), YEAR(calls[[#This Row],[Date of Call]])+1)</f>
        <v>2023</v>
      </c>
      <c r="M228" t="str">
        <f>TEXT(calls[[#This Row],[Date of Call]],"DDDD")</f>
        <v>الأربعاء</v>
      </c>
      <c r="N228" t="str" cm="1">
        <f t="array" ref="N228">_xlfn.IFS(calls[[#This Row],[Duration]]&lt;=10,"Under 10 mins", calls[[#This Row],[Duration]]&lt;=30, "10 to 30 mins", calls[[#This Row],[Duration]]&lt;=60, "30 to 60 mins", calls[[#This Row],[Duration]]&lt;=120, "1 to 2 hours", TRUE, "More than 2 hours")</f>
        <v>30 to 60 mins</v>
      </c>
      <c r="O228">
        <f>ROUND(calls[[#This Row],[Satisfaction Rating]],0)</f>
        <v>3</v>
      </c>
    </row>
    <row r="229" spans="2:15" x14ac:dyDescent="0.25">
      <c r="B229" t="s">
        <v>250</v>
      </c>
      <c r="C229" t="s">
        <v>6</v>
      </c>
      <c r="D229">
        <f>VLOOKUP(C229,customers[],3,0)</f>
        <v>23</v>
      </c>
      <c r="E229" t="str">
        <f>VLOOKUP(C229,customers[],2,0)</f>
        <v>Male</v>
      </c>
      <c r="F229" t="str">
        <f>VLOOKUP(C229,customers[],4,0)</f>
        <v>Columbus</v>
      </c>
      <c r="G229">
        <v>74</v>
      </c>
      <c r="H229" s="17" t="s">
        <v>8</v>
      </c>
      <c r="I229" s="18">
        <v>45000</v>
      </c>
      <c r="J229">
        <v>144</v>
      </c>
      <c r="K229">
        <v>4.8</v>
      </c>
      <c r="L229">
        <f>IF(MONTH(calls[[#This Row],[Date of Call]])&lt;=6, YEAR(calls[[#This Row],[Date of Call]]), YEAR(calls[[#This Row],[Date of Call]])+1)</f>
        <v>2023</v>
      </c>
      <c r="M229" t="str">
        <f>TEXT(calls[[#This Row],[Date of Call]],"DDDD")</f>
        <v>الأربعاء</v>
      </c>
      <c r="N229" t="str" cm="1">
        <f t="array" ref="N229">_xlfn.IFS(calls[[#This Row],[Duration]]&lt;=10,"Under 10 mins", calls[[#This Row],[Duration]]&lt;=30, "10 to 30 mins", calls[[#This Row],[Duration]]&lt;=60, "30 to 60 mins", calls[[#This Row],[Duration]]&lt;=120, "1 to 2 hours", TRUE, "More than 2 hours")</f>
        <v>1 to 2 hours</v>
      </c>
      <c r="O229">
        <f>ROUND(calls[[#This Row],[Satisfaction Rating]],0)</f>
        <v>5</v>
      </c>
    </row>
    <row r="230" spans="2:15" x14ac:dyDescent="0.25">
      <c r="B230" t="s">
        <v>251</v>
      </c>
      <c r="C230" t="s">
        <v>21</v>
      </c>
      <c r="D230">
        <f>VLOOKUP(C230,customers[],3,0)</f>
        <v>25</v>
      </c>
      <c r="E230" t="str">
        <f>VLOOKUP(C230,customers[],2,0)</f>
        <v>Female</v>
      </c>
      <c r="F230" t="str">
        <f>VLOOKUP(C230,customers[],4,0)</f>
        <v>Columbus</v>
      </c>
      <c r="G230">
        <v>65</v>
      </c>
      <c r="H230" s="17" t="s">
        <v>8</v>
      </c>
      <c r="I230" s="18">
        <v>45000</v>
      </c>
      <c r="J230">
        <v>87</v>
      </c>
      <c r="K230">
        <v>2.7</v>
      </c>
      <c r="L230">
        <f>IF(MONTH(calls[[#This Row],[Date of Call]])&lt;=6, YEAR(calls[[#This Row],[Date of Call]]), YEAR(calls[[#This Row],[Date of Call]])+1)</f>
        <v>2023</v>
      </c>
      <c r="M230" t="str">
        <f>TEXT(calls[[#This Row],[Date of Call]],"DDDD")</f>
        <v>الأربعاء</v>
      </c>
      <c r="N230" t="str" cm="1">
        <f t="array" ref="N230">_xlfn.IFS(calls[[#This Row],[Duration]]&lt;=10,"Under 10 mins", calls[[#This Row],[Duration]]&lt;=30, "10 to 30 mins", calls[[#This Row],[Duration]]&lt;=60, "30 to 60 mins", calls[[#This Row],[Duration]]&lt;=120, "1 to 2 hours", TRUE, "More than 2 hours")</f>
        <v>1 to 2 hours</v>
      </c>
      <c r="O230">
        <f>ROUND(calls[[#This Row],[Satisfaction Rating]],0)</f>
        <v>3</v>
      </c>
    </row>
    <row r="231" spans="2:15" x14ac:dyDescent="0.25">
      <c r="B231" t="s">
        <v>252</v>
      </c>
      <c r="C231" t="s">
        <v>7</v>
      </c>
      <c r="D231">
        <f>VLOOKUP(C231,customers[],3,0)</f>
        <v>30</v>
      </c>
      <c r="E231" t="str">
        <f>VLOOKUP(C231,customers[],2,0)</f>
        <v>Female</v>
      </c>
      <c r="F231" t="str">
        <f>VLOOKUP(C231,customers[],4,0)</f>
        <v>Cincinnati</v>
      </c>
      <c r="G231">
        <v>123</v>
      </c>
      <c r="H231" s="17" t="s">
        <v>5</v>
      </c>
      <c r="I231" s="18">
        <v>45000</v>
      </c>
      <c r="J231">
        <v>36</v>
      </c>
      <c r="K231">
        <v>3.6</v>
      </c>
      <c r="L231">
        <f>IF(MONTH(calls[[#This Row],[Date of Call]])&lt;=6, YEAR(calls[[#This Row],[Date of Call]]), YEAR(calls[[#This Row],[Date of Call]])+1)</f>
        <v>2023</v>
      </c>
      <c r="M231" t="str">
        <f>TEXT(calls[[#This Row],[Date of Call]],"DDDD")</f>
        <v>الأربعاء</v>
      </c>
      <c r="N231" t="str" cm="1">
        <f t="array" ref="N231">_xlfn.IFS(calls[[#This Row],[Duration]]&lt;=10,"Under 10 mins", calls[[#This Row],[Duration]]&lt;=30, "10 to 30 mins", calls[[#This Row],[Duration]]&lt;=60, "30 to 60 mins", calls[[#This Row],[Duration]]&lt;=120, "1 to 2 hours", TRUE, "More than 2 hours")</f>
        <v>More than 2 hours</v>
      </c>
      <c r="O231">
        <f>ROUND(calls[[#This Row],[Satisfaction Rating]],0)</f>
        <v>4</v>
      </c>
    </row>
    <row r="232" spans="2:15" x14ac:dyDescent="0.25">
      <c r="B232" t="s">
        <v>253</v>
      </c>
      <c r="C232" t="s">
        <v>21</v>
      </c>
      <c r="D232">
        <f>VLOOKUP(C232,customers[],3,0)</f>
        <v>25</v>
      </c>
      <c r="E232" t="str">
        <f>VLOOKUP(C232,customers[],2,0)</f>
        <v>Female</v>
      </c>
      <c r="F232" t="str">
        <f>VLOOKUP(C232,customers[],4,0)</f>
        <v>Columbus</v>
      </c>
      <c r="G232">
        <v>90</v>
      </c>
      <c r="H232" s="17" t="s">
        <v>12</v>
      </c>
      <c r="I232" s="18">
        <v>45001</v>
      </c>
      <c r="J232">
        <v>72</v>
      </c>
      <c r="K232">
        <v>4.7</v>
      </c>
      <c r="L232">
        <f>IF(MONTH(calls[[#This Row],[Date of Call]])&lt;=6, YEAR(calls[[#This Row],[Date of Call]]), YEAR(calls[[#This Row],[Date of Call]])+1)</f>
        <v>2023</v>
      </c>
      <c r="M232" t="str">
        <f>TEXT(calls[[#This Row],[Date of Call]],"DDDD")</f>
        <v>الخميس</v>
      </c>
      <c r="N232" t="str" cm="1">
        <f t="array" ref="N232">_xlfn.IFS(calls[[#This Row],[Duration]]&lt;=10,"Under 10 mins", calls[[#This Row],[Duration]]&lt;=30, "10 to 30 mins", calls[[#This Row],[Duration]]&lt;=60, "30 to 60 mins", calls[[#This Row],[Duration]]&lt;=120, "1 to 2 hours", TRUE, "More than 2 hours")</f>
        <v>1 to 2 hours</v>
      </c>
      <c r="O232">
        <f>ROUND(calls[[#This Row],[Satisfaction Rating]],0)</f>
        <v>5</v>
      </c>
    </row>
    <row r="233" spans="2:15" x14ac:dyDescent="0.25">
      <c r="B233" t="s">
        <v>254</v>
      </c>
      <c r="C233" t="s">
        <v>16</v>
      </c>
      <c r="D233">
        <f>VLOOKUP(C233,customers[],3,0)</f>
        <v>41</v>
      </c>
      <c r="E233" t="str">
        <f>VLOOKUP(C233,customers[],2,0)</f>
        <v>Male</v>
      </c>
      <c r="F233" t="str">
        <f>VLOOKUP(C233,customers[],4,0)</f>
        <v>Columbus</v>
      </c>
      <c r="G233">
        <v>127</v>
      </c>
      <c r="H233" s="17" t="s">
        <v>9</v>
      </c>
      <c r="I233" s="18">
        <v>45001</v>
      </c>
      <c r="J233">
        <v>150</v>
      </c>
      <c r="K233">
        <v>4.4000000000000004</v>
      </c>
      <c r="L233">
        <f>IF(MONTH(calls[[#This Row],[Date of Call]])&lt;=6, YEAR(calls[[#This Row],[Date of Call]]), YEAR(calls[[#This Row],[Date of Call]])+1)</f>
        <v>2023</v>
      </c>
      <c r="M233" t="str">
        <f>TEXT(calls[[#This Row],[Date of Call]],"DDDD")</f>
        <v>الخميس</v>
      </c>
      <c r="N233" t="str" cm="1">
        <f t="array" ref="N233">_xlfn.IFS(calls[[#This Row],[Duration]]&lt;=10,"Under 10 mins", calls[[#This Row],[Duration]]&lt;=30, "10 to 30 mins", calls[[#This Row],[Duration]]&lt;=60, "30 to 60 mins", calls[[#This Row],[Duration]]&lt;=120, "1 to 2 hours", TRUE, "More than 2 hours")</f>
        <v>More than 2 hours</v>
      </c>
      <c r="O233">
        <f>ROUND(calls[[#This Row],[Satisfaction Rating]],0)</f>
        <v>4</v>
      </c>
    </row>
    <row r="234" spans="2:15" x14ac:dyDescent="0.25">
      <c r="B234" t="s">
        <v>255</v>
      </c>
      <c r="C234" t="s">
        <v>20</v>
      </c>
      <c r="D234">
        <f>VLOOKUP(C234,customers[],3,0)</f>
        <v>38</v>
      </c>
      <c r="E234" t="str">
        <f>VLOOKUP(C234,customers[],2,0)</f>
        <v>Female</v>
      </c>
      <c r="F234" t="str">
        <f>VLOOKUP(C234,customers[],4,0)</f>
        <v>Columbus</v>
      </c>
      <c r="G234">
        <v>60</v>
      </c>
      <c r="H234" s="17" t="s">
        <v>8</v>
      </c>
      <c r="I234" s="18">
        <v>45001</v>
      </c>
      <c r="J234">
        <v>68</v>
      </c>
      <c r="K234">
        <v>4.3</v>
      </c>
      <c r="L234">
        <f>IF(MONTH(calls[[#This Row],[Date of Call]])&lt;=6, YEAR(calls[[#This Row],[Date of Call]]), YEAR(calls[[#This Row],[Date of Call]])+1)</f>
        <v>2023</v>
      </c>
      <c r="M234" t="str">
        <f>TEXT(calls[[#This Row],[Date of Call]],"DDDD")</f>
        <v>الخميس</v>
      </c>
      <c r="N234" t="str" cm="1">
        <f t="array" ref="N234">_xlfn.IFS(calls[[#This Row],[Duration]]&lt;=10,"Under 10 mins", calls[[#This Row],[Duration]]&lt;=30, "10 to 30 mins", calls[[#This Row],[Duration]]&lt;=60, "30 to 60 mins", calls[[#This Row],[Duration]]&lt;=120, "1 to 2 hours", TRUE, "More than 2 hours")</f>
        <v>30 to 60 mins</v>
      </c>
      <c r="O234">
        <f>ROUND(calls[[#This Row],[Satisfaction Rating]],0)</f>
        <v>4</v>
      </c>
    </row>
    <row r="235" spans="2:15" x14ac:dyDescent="0.25">
      <c r="B235" t="s">
        <v>256</v>
      </c>
      <c r="C235" t="s">
        <v>11</v>
      </c>
      <c r="D235">
        <f>VLOOKUP(C235,customers[],3,0)</f>
        <v>36</v>
      </c>
      <c r="E235" t="str">
        <f>VLOOKUP(C235,customers[],2,0)</f>
        <v>Male</v>
      </c>
      <c r="F235" t="str">
        <f>VLOOKUP(C235,customers[],4,0)</f>
        <v>Cincinnati</v>
      </c>
      <c r="G235">
        <v>94</v>
      </c>
      <c r="H235" s="17" t="s">
        <v>9</v>
      </c>
      <c r="I235" s="18">
        <v>45001</v>
      </c>
      <c r="J235">
        <v>99</v>
      </c>
      <c r="K235">
        <v>4.9000000000000004</v>
      </c>
      <c r="L235">
        <f>IF(MONTH(calls[[#This Row],[Date of Call]])&lt;=6, YEAR(calls[[#This Row],[Date of Call]]), YEAR(calls[[#This Row],[Date of Call]])+1)</f>
        <v>2023</v>
      </c>
      <c r="M235" t="str">
        <f>TEXT(calls[[#This Row],[Date of Call]],"DDDD")</f>
        <v>الخميس</v>
      </c>
      <c r="N235" t="str" cm="1">
        <f t="array" ref="N235">_xlfn.IFS(calls[[#This Row],[Duration]]&lt;=10,"Under 10 mins", calls[[#This Row],[Duration]]&lt;=30, "10 to 30 mins", calls[[#This Row],[Duration]]&lt;=60, "30 to 60 mins", calls[[#This Row],[Duration]]&lt;=120, "1 to 2 hours", TRUE, "More than 2 hours")</f>
        <v>1 to 2 hours</v>
      </c>
      <c r="O235">
        <f>ROUND(calls[[#This Row],[Satisfaction Rating]],0)</f>
        <v>5</v>
      </c>
    </row>
    <row r="236" spans="2:15" x14ac:dyDescent="0.25">
      <c r="B236" t="s">
        <v>257</v>
      </c>
      <c r="C236" t="s">
        <v>7</v>
      </c>
      <c r="D236">
        <f>VLOOKUP(C236,customers[],3,0)</f>
        <v>30</v>
      </c>
      <c r="E236" t="str">
        <f>VLOOKUP(C236,customers[],2,0)</f>
        <v>Female</v>
      </c>
      <c r="F236" t="str">
        <f>VLOOKUP(C236,customers[],4,0)</f>
        <v>Cincinnati</v>
      </c>
      <c r="G236">
        <v>54</v>
      </c>
      <c r="H236" s="17" t="s">
        <v>8</v>
      </c>
      <c r="I236" s="18">
        <v>45001</v>
      </c>
      <c r="J236">
        <v>26</v>
      </c>
      <c r="K236">
        <v>4.8</v>
      </c>
      <c r="L236">
        <f>IF(MONTH(calls[[#This Row],[Date of Call]])&lt;=6, YEAR(calls[[#This Row],[Date of Call]]), YEAR(calls[[#This Row],[Date of Call]])+1)</f>
        <v>2023</v>
      </c>
      <c r="M236" t="str">
        <f>TEXT(calls[[#This Row],[Date of Call]],"DDDD")</f>
        <v>الخميس</v>
      </c>
      <c r="N236" t="str" cm="1">
        <f t="array" ref="N236">_xlfn.IFS(calls[[#This Row],[Duration]]&lt;=10,"Under 10 mins", calls[[#This Row],[Duration]]&lt;=30, "10 to 30 mins", calls[[#This Row],[Duration]]&lt;=60, "30 to 60 mins", calls[[#This Row],[Duration]]&lt;=120, "1 to 2 hours", TRUE, "More than 2 hours")</f>
        <v>30 to 60 mins</v>
      </c>
      <c r="O236">
        <f>ROUND(calls[[#This Row],[Satisfaction Rating]],0)</f>
        <v>5</v>
      </c>
    </row>
    <row r="237" spans="2:15" x14ac:dyDescent="0.25">
      <c r="B237" t="s">
        <v>258</v>
      </c>
      <c r="C237" t="s">
        <v>21</v>
      </c>
      <c r="D237">
        <f>VLOOKUP(C237,customers[],3,0)</f>
        <v>25</v>
      </c>
      <c r="E237" t="str">
        <f>VLOOKUP(C237,customers[],2,0)</f>
        <v>Female</v>
      </c>
      <c r="F237" t="str">
        <f>VLOOKUP(C237,customers[],4,0)</f>
        <v>Columbus</v>
      </c>
      <c r="G237">
        <v>104</v>
      </c>
      <c r="H237" s="17" t="s">
        <v>8</v>
      </c>
      <c r="I237" s="18">
        <v>45001</v>
      </c>
      <c r="J237">
        <v>88</v>
      </c>
      <c r="K237">
        <v>3.2</v>
      </c>
      <c r="L237">
        <f>IF(MONTH(calls[[#This Row],[Date of Call]])&lt;=6, YEAR(calls[[#This Row],[Date of Call]]), YEAR(calls[[#This Row],[Date of Call]])+1)</f>
        <v>2023</v>
      </c>
      <c r="M237" t="str">
        <f>TEXT(calls[[#This Row],[Date of Call]],"DDDD")</f>
        <v>الخميس</v>
      </c>
      <c r="N237" t="str" cm="1">
        <f t="array" ref="N237">_xlfn.IFS(calls[[#This Row],[Duration]]&lt;=10,"Under 10 mins", calls[[#This Row],[Duration]]&lt;=30, "10 to 30 mins", calls[[#This Row],[Duration]]&lt;=60, "30 to 60 mins", calls[[#This Row],[Duration]]&lt;=120, "1 to 2 hours", TRUE, "More than 2 hours")</f>
        <v>1 to 2 hours</v>
      </c>
      <c r="O237">
        <f>ROUND(calls[[#This Row],[Satisfaction Rating]],0)</f>
        <v>3</v>
      </c>
    </row>
    <row r="238" spans="2:15" x14ac:dyDescent="0.25">
      <c r="B238" t="s">
        <v>259</v>
      </c>
      <c r="C238" t="s">
        <v>14</v>
      </c>
      <c r="D238">
        <f>VLOOKUP(C238,customers[],3,0)</f>
        <v>22</v>
      </c>
      <c r="E238" t="str">
        <f>VLOOKUP(C238,customers[],2,0)</f>
        <v>Female</v>
      </c>
      <c r="F238" t="str">
        <f>VLOOKUP(C238,customers[],4,0)</f>
        <v>Cleveland</v>
      </c>
      <c r="G238">
        <v>100</v>
      </c>
      <c r="H238" s="17" t="s">
        <v>8</v>
      </c>
      <c r="I238" s="18">
        <v>45001</v>
      </c>
      <c r="J238">
        <v>124</v>
      </c>
      <c r="K238">
        <v>3.4</v>
      </c>
      <c r="L238">
        <f>IF(MONTH(calls[[#This Row],[Date of Call]])&lt;=6, YEAR(calls[[#This Row],[Date of Call]]), YEAR(calls[[#This Row],[Date of Call]])+1)</f>
        <v>2023</v>
      </c>
      <c r="M238" t="str">
        <f>TEXT(calls[[#This Row],[Date of Call]],"DDDD")</f>
        <v>الخميس</v>
      </c>
      <c r="N238" t="str" cm="1">
        <f t="array" ref="N238">_xlfn.IFS(calls[[#This Row],[Duration]]&lt;=10,"Under 10 mins", calls[[#This Row],[Duration]]&lt;=30, "10 to 30 mins", calls[[#This Row],[Duration]]&lt;=60, "30 to 60 mins", calls[[#This Row],[Duration]]&lt;=120, "1 to 2 hours", TRUE, "More than 2 hours")</f>
        <v>1 to 2 hours</v>
      </c>
      <c r="O238">
        <f>ROUND(calls[[#This Row],[Satisfaction Rating]],0)</f>
        <v>3</v>
      </c>
    </row>
    <row r="239" spans="2:15" x14ac:dyDescent="0.25">
      <c r="B239" t="s">
        <v>260</v>
      </c>
      <c r="C239" t="s">
        <v>6</v>
      </c>
      <c r="D239">
        <f>VLOOKUP(C239,customers[],3,0)</f>
        <v>23</v>
      </c>
      <c r="E239" t="str">
        <f>VLOOKUP(C239,customers[],2,0)</f>
        <v>Male</v>
      </c>
      <c r="F239" t="str">
        <f>VLOOKUP(C239,customers[],4,0)</f>
        <v>Columbus</v>
      </c>
      <c r="G239">
        <v>84</v>
      </c>
      <c r="H239" s="17" t="s">
        <v>8</v>
      </c>
      <c r="I239" s="18">
        <v>45001</v>
      </c>
      <c r="J239">
        <v>72</v>
      </c>
      <c r="K239">
        <v>3.5</v>
      </c>
      <c r="L239">
        <f>IF(MONTH(calls[[#This Row],[Date of Call]])&lt;=6, YEAR(calls[[#This Row],[Date of Call]]), YEAR(calls[[#This Row],[Date of Call]])+1)</f>
        <v>2023</v>
      </c>
      <c r="M239" t="str">
        <f>TEXT(calls[[#This Row],[Date of Call]],"DDDD")</f>
        <v>الخميس</v>
      </c>
      <c r="N239" t="str" cm="1">
        <f t="array" ref="N239">_xlfn.IFS(calls[[#This Row],[Duration]]&lt;=10,"Under 10 mins", calls[[#This Row],[Duration]]&lt;=30, "10 to 30 mins", calls[[#This Row],[Duration]]&lt;=60, "30 to 60 mins", calls[[#This Row],[Duration]]&lt;=120, "1 to 2 hours", TRUE, "More than 2 hours")</f>
        <v>1 to 2 hours</v>
      </c>
      <c r="O239">
        <f>ROUND(calls[[#This Row],[Satisfaction Rating]],0)</f>
        <v>4</v>
      </c>
    </row>
    <row r="240" spans="2:15" x14ac:dyDescent="0.25">
      <c r="B240" t="s">
        <v>261</v>
      </c>
      <c r="C240" t="s">
        <v>19</v>
      </c>
      <c r="D240">
        <f>VLOOKUP(C240,customers[],3,0)</f>
        <v>26</v>
      </c>
      <c r="E240" t="str">
        <f>VLOOKUP(C240,customers[],2,0)</f>
        <v>Male</v>
      </c>
      <c r="F240" t="str">
        <f>VLOOKUP(C240,customers[],4,0)</f>
        <v>Cincinnati</v>
      </c>
      <c r="G240">
        <v>92</v>
      </c>
      <c r="H240" s="17" t="s">
        <v>10</v>
      </c>
      <c r="I240" s="18">
        <v>45002</v>
      </c>
      <c r="J240">
        <v>125</v>
      </c>
      <c r="K240">
        <v>4.9000000000000004</v>
      </c>
      <c r="L240">
        <f>IF(MONTH(calls[[#This Row],[Date of Call]])&lt;=6, YEAR(calls[[#This Row],[Date of Call]]), YEAR(calls[[#This Row],[Date of Call]])+1)</f>
        <v>2023</v>
      </c>
      <c r="M240" t="str">
        <f>TEXT(calls[[#This Row],[Date of Call]],"DDDD")</f>
        <v>الجمعة</v>
      </c>
      <c r="N240" t="str" cm="1">
        <f t="array" ref="N240">_xlfn.IFS(calls[[#This Row],[Duration]]&lt;=10,"Under 10 mins", calls[[#This Row],[Duration]]&lt;=30, "10 to 30 mins", calls[[#This Row],[Duration]]&lt;=60, "30 to 60 mins", calls[[#This Row],[Duration]]&lt;=120, "1 to 2 hours", TRUE, "More than 2 hours")</f>
        <v>1 to 2 hours</v>
      </c>
      <c r="O240">
        <f>ROUND(calls[[#This Row],[Satisfaction Rating]],0)</f>
        <v>5</v>
      </c>
    </row>
    <row r="241" spans="2:15" x14ac:dyDescent="0.25">
      <c r="B241" t="s">
        <v>262</v>
      </c>
      <c r="C241" t="s">
        <v>17</v>
      </c>
      <c r="D241">
        <f>VLOOKUP(C241,customers[],3,0)</f>
        <v>30</v>
      </c>
      <c r="E241" t="str">
        <f>VLOOKUP(C241,customers[],2,0)</f>
        <v>Female</v>
      </c>
      <c r="F241" t="str">
        <f>VLOOKUP(C241,customers[],4,0)</f>
        <v>Cleveland</v>
      </c>
      <c r="G241">
        <v>64</v>
      </c>
      <c r="H241" s="17" t="s">
        <v>9</v>
      </c>
      <c r="I241" s="18">
        <v>45002</v>
      </c>
      <c r="J241">
        <v>22</v>
      </c>
      <c r="K241">
        <v>4.0999999999999996</v>
      </c>
      <c r="L241">
        <f>IF(MONTH(calls[[#This Row],[Date of Call]])&lt;=6, YEAR(calls[[#This Row],[Date of Call]]), YEAR(calls[[#This Row],[Date of Call]])+1)</f>
        <v>2023</v>
      </c>
      <c r="M241" t="str">
        <f>TEXT(calls[[#This Row],[Date of Call]],"DDDD")</f>
        <v>الجمعة</v>
      </c>
      <c r="N241" t="str" cm="1">
        <f t="array" ref="N241">_xlfn.IFS(calls[[#This Row],[Duration]]&lt;=10,"Under 10 mins", calls[[#This Row],[Duration]]&lt;=30, "10 to 30 mins", calls[[#This Row],[Duration]]&lt;=60, "30 to 60 mins", calls[[#This Row],[Duration]]&lt;=120, "1 to 2 hours", TRUE, "More than 2 hours")</f>
        <v>1 to 2 hours</v>
      </c>
      <c r="O241">
        <f>ROUND(calls[[#This Row],[Satisfaction Rating]],0)</f>
        <v>4</v>
      </c>
    </row>
    <row r="242" spans="2:15" x14ac:dyDescent="0.25">
      <c r="B242" t="s">
        <v>263</v>
      </c>
      <c r="C242" t="s">
        <v>22</v>
      </c>
      <c r="D242">
        <f>VLOOKUP(C242,customers[],3,0)</f>
        <v>37</v>
      </c>
      <c r="E242" t="str">
        <f>VLOOKUP(C242,customers[],2,0)</f>
        <v>Male</v>
      </c>
      <c r="F242" t="str">
        <f>VLOOKUP(C242,customers[],4,0)</f>
        <v>Columbus</v>
      </c>
      <c r="G242">
        <v>89</v>
      </c>
      <c r="H242" s="17" t="s">
        <v>12</v>
      </c>
      <c r="I242" s="18">
        <v>45003</v>
      </c>
      <c r="J242">
        <v>70</v>
      </c>
      <c r="K242">
        <v>4.9000000000000004</v>
      </c>
      <c r="L242">
        <f>IF(MONTH(calls[[#This Row],[Date of Call]])&lt;=6, YEAR(calls[[#This Row],[Date of Call]]), YEAR(calls[[#This Row],[Date of Call]])+1)</f>
        <v>2023</v>
      </c>
      <c r="M242" t="str">
        <f>TEXT(calls[[#This Row],[Date of Call]],"DDDD")</f>
        <v>السبت</v>
      </c>
      <c r="N242" t="str" cm="1">
        <f t="array" ref="N242">_xlfn.IFS(calls[[#This Row],[Duration]]&lt;=10,"Under 10 mins", calls[[#This Row],[Duration]]&lt;=30, "10 to 30 mins", calls[[#This Row],[Duration]]&lt;=60, "30 to 60 mins", calls[[#This Row],[Duration]]&lt;=120, "1 to 2 hours", TRUE, "More than 2 hours")</f>
        <v>1 to 2 hours</v>
      </c>
      <c r="O242">
        <f>ROUND(calls[[#This Row],[Satisfaction Rating]],0)</f>
        <v>5</v>
      </c>
    </row>
    <row r="243" spans="2:15" x14ac:dyDescent="0.25">
      <c r="B243" t="s">
        <v>264</v>
      </c>
      <c r="C243" t="s">
        <v>18</v>
      </c>
      <c r="D243">
        <f>VLOOKUP(C243,customers[],3,0)</f>
        <v>43</v>
      </c>
      <c r="E243" t="str">
        <f>VLOOKUP(C243,customers[],2,0)</f>
        <v>Female</v>
      </c>
      <c r="F243" t="str">
        <f>VLOOKUP(C243,customers[],4,0)</f>
        <v>Cleveland</v>
      </c>
      <c r="G243">
        <v>40</v>
      </c>
      <c r="H243" s="17" t="s">
        <v>8</v>
      </c>
      <c r="I243" s="18">
        <v>45003</v>
      </c>
      <c r="J243">
        <v>24</v>
      </c>
      <c r="K243">
        <v>4.3</v>
      </c>
      <c r="L243">
        <f>IF(MONTH(calls[[#This Row],[Date of Call]])&lt;=6, YEAR(calls[[#This Row],[Date of Call]]), YEAR(calls[[#This Row],[Date of Call]])+1)</f>
        <v>2023</v>
      </c>
      <c r="M243" t="str">
        <f>TEXT(calls[[#This Row],[Date of Call]],"DDDD")</f>
        <v>السبت</v>
      </c>
      <c r="N243" t="str" cm="1">
        <f t="array" ref="N243">_xlfn.IFS(calls[[#This Row],[Duration]]&lt;=10,"Under 10 mins", calls[[#This Row],[Duration]]&lt;=30, "10 to 30 mins", calls[[#This Row],[Duration]]&lt;=60, "30 to 60 mins", calls[[#This Row],[Duration]]&lt;=120, "1 to 2 hours", TRUE, "More than 2 hours")</f>
        <v>30 to 60 mins</v>
      </c>
      <c r="O243">
        <f>ROUND(calls[[#This Row],[Satisfaction Rating]],0)</f>
        <v>4</v>
      </c>
    </row>
    <row r="244" spans="2:15" x14ac:dyDescent="0.25">
      <c r="B244" t="s">
        <v>265</v>
      </c>
      <c r="C244" t="s">
        <v>13</v>
      </c>
      <c r="D244">
        <f>VLOOKUP(C244,customers[],3,0)</f>
        <v>37</v>
      </c>
      <c r="E244" t="str">
        <f>VLOOKUP(C244,customers[],2,0)</f>
        <v>Female</v>
      </c>
      <c r="F244" t="str">
        <f>VLOOKUP(C244,customers[],4,0)</f>
        <v>Cleveland</v>
      </c>
      <c r="G244">
        <v>75</v>
      </c>
      <c r="H244" s="17" t="s">
        <v>5</v>
      </c>
      <c r="I244" s="18">
        <v>45003</v>
      </c>
      <c r="J244">
        <v>32</v>
      </c>
      <c r="K244">
        <v>4.0999999999999996</v>
      </c>
      <c r="L244">
        <f>IF(MONTH(calls[[#This Row],[Date of Call]])&lt;=6, YEAR(calls[[#This Row],[Date of Call]]), YEAR(calls[[#This Row],[Date of Call]])+1)</f>
        <v>2023</v>
      </c>
      <c r="M244" t="str">
        <f>TEXT(calls[[#This Row],[Date of Call]],"DDDD")</f>
        <v>السبت</v>
      </c>
      <c r="N244" t="str" cm="1">
        <f t="array" ref="N244">_xlfn.IFS(calls[[#This Row],[Duration]]&lt;=10,"Under 10 mins", calls[[#This Row],[Duration]]&lt;=30, "10 to 30 mins", calls[[#This Row],[Duration]]&lt;=60, "30 to 60 mins", calls[[#This Row],[Duration]]&lt;=120, "1 to 2 hours", TRUE, "More than 2 hours")</f>
        <v>1 to 2 hours</v>
      </c>
      <c r="O244">
        <f>ROUND(calls[[#This Row],[Satisfaction Rating]],0)</f>
        <v>4</v>
      </c>
    </row>
    <row r="245" spans="2:15" x14ac:dyDescent="0.25">
      <c r="B245" t="s">
        <v>266</v>
      </c>
      <c r="C245" t="s">
        <v>16</v>
      </c>
      <c r="D245">
        <f>VLOOKUP(C245,customers[],3,0)</f>
        <v>41</v>
      </c>
      <c r="E245" t="str">
        <f>VLOOKUP(C245,customers[],2,0)</f>
        <v>Male</v>
      </c>
      <c r="F245" t="str">
        <f>VLOOKUP(C245,customers[],4,0)</f>
        <v>Columbus</v>
      </c>
      <c r="G245">
        <v>106</v>
      </c>
      <c r="H245" s="17" t="s">
        <v>10</v>
      </c>
      <c r="I245" s="18">
        <v>45003</v>
      </c>
      <c r="J245">
        <v>112</v>
      </c>
      <c r="K245">
        <v>4.4000000000000004</v>
      </c>
      <c r="L245">
        <f>IF(MONTH(calls[[#This Row],[Date of Call]])&lt;=6, YEAR(calls[[#This Row],[Date of Call]]), YEAR(calls[[#This Row],[Date of Call]])+1)</f>
        <v>2023</v>
      </c>
      <c r="M245" t="str">
        <f>TEXT(calls[[#This Row],[Date of Call]],"DDDD")</f>
        <v>السبت</v>
      </c>
      <c r="N245" t="str" cm="1">
        <f t="array" ref="N245">_xlfn.IFS(calls[[#This Row],[Duration]]&lt;=10,"Under 10 mins", calls[[#This Row],[Duration]]&lt;=30, "10 to 30 mins", calls[[#This Row],[Duration]]&lt;=60, "30 to 60 mins", calls[[#This Row],[Duration]]&lt;=120, "1 to 2 hours", TRUE, "More than 2 hours")</f>
        <v>1 to 2 hours</v>
      </c>
      <c r="O245">
        <f>ROUND(calls[[#This Row],[Satisfaction Rating]],0)</f>
        <v>4</v>
      </c>
    </row>
    <row r="246" spans="2:15" x14ac:dyDescent="0.25">
      <c r="B246" t="s">
        <v>267</v>
      </c>
      <c r="C246" t="s">
        <v>17</v>
      </c>
      <c r="D246">
        <f>VLOOKUP(C246,customers[],3,0)</f>
        <v>30</v>
      </c>
      <c r="E246" t="str">
        <f>VLOOKUP(C246,customers[],2,0)</f>
        <v>Female</v>
      </c>
      <c r="F246" t="str">
        <f>VLOOKUP(C246,customers[],4,0)</f>
        <v>Cleveland</v>
      </c>
      <c r="G246">
        <v>58</v>
      </c>
      <c r="H246" s="17" t="s">
        <v>8</v>
      </c>
      <c r="I246" s="18">
        <v>45004</v>
      </c>
      <c r="J246">
        <v>43</v>
      </c>
      <c r="K246">
        <v>4.5</v>
      </c>
      <c r="L246">
        <f>IF(MONTH(calls[[#This Row],[Date of Call]])&lt;=6, YEAR(calls[[#This Row],[Date of Call]]), YEAR(calls[[#This Row],[Date of Call]])+1)</f>
        <v>2023</v>
      </c>
      <c r="M246" t="str">
        <f>TEXT(calls[[#This Row],[Date of Call]],"DDDD")</f>
        <v>الأحد</v>
      </c>
      <c r="N246" t="str" cm="1">
        <f t="array" ref="N246">_xlfn.IFS(calls[[#This Row],[Duration]]&lt;=10,"Under 10 mins", calls[[#This Row],[Duration]]&lt;=30, "10 to 30 mins", calls[[#This Row],[Duration]]&lt;=60, "30 to 60 mins", calls[[#This Row],[Duration]]&lt;=120, "1 to 2 hours", TRUE, "More than 2 hours")</f>
        <v>30 to 60 mins</v>
      </c>
      <c r="O246">
        <f>ROUND(calls[[#This Row],[Satisfaction Rating]],0)</f>
        <v>5</v>
      </c>
    </row>
    <row r="247" spans="2:15" x14ac:dyDescent="0.25">
      <c r="B247" t="s">
        <v>268</v>
      </c>
      <c r="C247" t="s">
        <v>6</v>
      </c>
      <c r="D247">
        <f>VLOOKUP(C247,customers[],3,0)</f>
        <v>23</v>
      </c>
      <c r="E247" t="str">
        <f>VLOOKUP(C247,customers[],2,0)</f>
        <v>Male</v>
      </c>
      <c r="F247" t="str">
        <f>VLOOKUP(C247,customers[],4,0)</f>
        <v>Columbus</v>
      </c>
      <c r="G247">
        <v>84</v>
      </c>
      <c r="H247" s="17" t="s">
        <v>10</v>
      </c>
      <c r="I247" s="18">
        <v>45004</v>
      </c>
      <c r="J247">
        <v>22</v>
      </c>
      <c r="K247">
        <v>3.5</v>
      </c>
      <c r="L247">
        <f>IF(MONTH(calls[[#This Row],[Date of Call]])&lt;=6, YEAR(calls[[#This Row],[Date of Call]]), YEAR(calls[[#This Row],[Date of Call]])+1)</f>
        <v>2023</v>
      </c>
      <c r="M247" t="str">
        <f>TEXT(calls[[#This Row],[Date of Call]],"DDDD")</f>
        <v>الأحد</v>
      </c>
      <c r="N247" t="str" cm="1">
        <f t="array" ref="N247">_xlfn.IFS(calls[[#This Row],[Duration]]&lt;=10,"Under 10 mins", calls[[#This Row],[Duration]]&lt;=30, "10 to 30 mins", calls[[#This Row],[Duration]]&lt;=60, "30 to 60 mins", calls[[#This Row],[Duration]]&lt;=120, "1 to 2 hours", TRUE, "More than 2 hours")</f>
        <v>1 to 2 hours</v>
      </c>
      <c r="O247">
        <f>ROUND(calls[[#This Row],[Satisfaction Rating]],0)</f>
        <v>4</v>
      </c>
    </row>
    <row r="248" spans="2:15" x14ac:dyDescent="0.25">
      <c r="B248" t="s">
        <v>269</v>
      </c>
      <c r="C248" t="s">
        <v>21</v>
      </c>
      <c r="D248">
        <f>VLOOKUP(C248,customers[],3,0)</f>
        <v>25</v>
      </c>
      <c r="E248" t="str">
        <f>VLOOKUP(C248,customers[],2,0)</f>
        <v>Female</v>
      </c>
      <c r="F248" t="str">
        <f>VLOOKUP(C248,customers[],4,0)</f>
        <v>Columbus</v>
      </c>
      <c r="G248">
        <v>140</v>
      </c>
      <c r="H248" s="17" t="s">
        <v>10</v>
      </c>
      <c r="I248" s="18">
        <v>45004</v>
      </c>
      <c r="J248">
        <v>93</v>
      </c>
      <c r="K248">
        <v>4.4000000000000004</v>
      </c>
      <c r="L248">
        <f>IF(MONTH(calls[[#This Row],[Date of Call]])&lt;=6, YEAR(calls[[#This Row],[Date of Call]]), YEAR(calls[[#This Row],[Date of Call]])+1)</f>
        <v>2023</v>
      </c>
      <c r="M248" t="str">
        <f>TEXT(calls[[#This Row],[Date of Call]],"DDDD")</f>
        <v>الأحد</v>
      </c>
      <c r="N248" t="str" cm="1">
        <f t="array" ref="N248">_xlfn.IFS(calls[[#This Row],[Duration]]&lt;=10,"Under 10 mins", calls[[#This Row],[Duration]]&lt;=30, "10 to 30 mins", calls[[#This Row],[Duration]]&lt;=60, "30 to 60 mins", calls[[#This Row],[Duration]]&lt;=120, "1 to 2 hours", TRUE, "More than 2 hours")</f>
        <v>More than 2 hours</v>
      </c>
      <c r="O248">
        <f>ROUND(calls[[#This Row],[Satisfaction Rating]],0)</f>
        <v>4</v>
      </c>
    </row>
    <row r="249" spans="2:15" x14ac:dyDescent="0.25">
      <c r="B249" t="s">
        <v>270</v>
      </c>
      <c r="C249" t="s">
        <v>17</v>
      </c>
      <c r="D249">
        <f>VLOOKUP(C249,customers[],3,0)</f>
        <v>30</v>
      </c>
      <c r="E249" t="str">
        <f>VLOOKUP(C249,customers[],2,0)</f>
        <v>Female</v>
      </c>
      <c r="F249" t="str">
        <f>VLOOKUP(C249,customers[],4,0)</f>
        <v>Cleveland</v>
      </c>
      <c r="G249">
        <v>67</v>
      </c>
      <c r="H249" s="17" t="s">
        <v>10</v>
      </c>
      <c r="I249" s="18">
        <v>45004</v>
      </c>
      <c r="J249">
        <v>45</v>
      </c>
      <c r="K249">
        <v>3.5</v>
      </c>
      <c r="L249">
        <f>IF(MONTH(calls[[#This Row],[Date of Call]])&lt;=6, YEAR(calls[[#This Row],[Date of Call]]), YEAR(calls[[#This Row],[Date of Call]])+1)</f>
        <v>2023</v>
      </c>
      <c r="M249" t="str">
        <f>TEXT(calls[[#This Row],[Date of Call]],"DDDD")</f>
        <v>الأحد</v>
      </c>
      <c r="N249" t="str" cm="1">
        <f t="array" ref="N249">_xlfn.IFS(calls[[#This Row],[Duration]]&lt;=10,"Under 10 mins", calls[[#This Row],[Duration]]&lt;=30, "10 to 30 mins", calls[[#This Row],[Duration]]&lt;=60, "30 to 60 mins", calls[[#This Row],[Duration]]&lt;=120, "1 to 2 hours", TRUE, "More than 2 hours")</f>
        <v>1 to 2 hours</v>
      </c>
      <c r="O249">
        <f>ROUND(calls[[#This Row],[Satisfaction Rating]],0)</f>
        <v>4</v>
      </c>
    </row>
    <row r="250" spans="2:15" x14ac:dyDescent="0.25">
      <c r="B250" t="s">
        <v>271</v>
      </c>
      <c r="C250" t="s">
        <v>11</v>
      </c>
      <c r="D250">
        <f>VLOOKUP(C250,customers[],3,0)</f>
        <v>36</v>
      </c>
      <c r="E250" t="str">
        <f>VLOOKUP(C250,customers[],2,0)</f>
        <v>Male</v>
      </c>
      <c r="F250" t="str">
        <f>VLOOKUP(C250,customers[],4,0)</f>
        <v>Cincinnati</v>
      </c>
      <c r="G250">
        <v>126</v>
      </c>
      <c r="H250" s="17" t="s">
        <v>10</v>
      </c>
      <c r="I250" s="18">
        <v>45005</v>
      </c>
      <c r="J250">
        <v>96</v>
      </c>
      <c r="K250">
        <v>3.8</v>
      </c>
      <c r="L250">
        <f>IF(MONTH(calls[[#This Row],[Date of Call]])&lt;=6, YEAR(calls[[#This Row],[Date of Call]]), YEAR(calls[[#This Row],[Date of Call]])+1)</f>
        <v>2023</v>
      </c>
      <c r="M250" t="str">
        <f>TEXT(calls[[#This Row],[Date of Call]],"DDDD")</f>
        <v>الإثنين</v>
      </c>
      <c r="N250" t="str" cm="1">
        <f t="array" ref="N250">_xlfn.IFS(calls[[#This Row],[Duration]]&lt;=10,"Under 10 mins", calls[[#This Row],[Duration]]&lt;=30, "10 to 30 mins", calls[[#This Row],[Duration]]&lt;=60, "30 to 60 mins", calls[[#This Row],[Duration]]&lt;=120, "1 to 2 hours", TRUE, "More than 2 hours")</f>
        <v>More than 2 hours</v>
      </c>
      <c r="O250">
        <f>ROUND(calls[[#This Row],[Satisfaction Rating]],0)</f>
        <v>4</v>
      </c>
    </row>
    <row r="251" spans="2:15" x14ac:dyDescent="0.25">
      <c r="B251" t="s">
        <v>272</v>
      </c>
      <c r="C251" t="s">
        <v>11</v>
      </c>
      <c r="D251">
        <f>VLOOKUP(C251,customers[],3,0)</f>
        <v>36</v>
      </c>
      <c r="E251" t="str">
        <f>VLOOKUP(C251,customers[],2,0)</f>
        <v>Male</v>
      </c>
      <c r="F251" t="str">
        <f>VLOOKUP(C251,customers[],4,0)</f>
        <v>Cincinnati</v>
      </c>
      <c r="G251">
        <v>89</v>
      </c>
      <c r="H251" s="17" t="s">
        <v>8</v>
      </c>
      <c r="I251" s="18">
        <v>45005</v>
      </c>
      <c r="J251">
        <v>96</v>
      </c>
      <c r="K251">
        <v>3.3</v>
      </c>
      <c r="L251">
        <f>IF(MONTH(calls[[#This Row],[Date of Call]])&lt;=6, YEAR(calls[[#This Row],[Date of Call]]), YEAR(calls[[#This Row],[Date of Call]])+1)</f>
        <v>2023</v>
      </c>
      <c r="M251" t="str">
        <f>TEXT(calls[[#This Row],[Date of Call]],"DDDD")</f>
        <v>الإثنين</v>
      </c>
      <c r="N251" t="str" cm="1">
        <f t="array" ref="N251">_xlfn.IFS(calls[[#This Row],[Duration]]&lt;=10,"Under 10 mins", calls[[#This Row],[Duration]]&lt;=30, "10 to 30 mins", calls[[#This Row],[Duration]]&lt;=60, "30 to 60 mins", calls[[#This Row],[Duration]]&lt;=120, "1 to 2 hours", TRUE, "More than 2 hours")</f>
        <v>1 to 2 hours</v>
      </c>
      <c r="O251">
        <f>ROUND(calls[[#This Row],[Satisfaction Rating]],0)</f>
        <v>3</v>
      </c>
    </row>
    <row r="252" spans="2:15" x14ac:dyDescent="0.25">
      <c r="B252" t="s">
        <v>273</v>
      </c>
      <c r="C252" t="s">
        <v>22</v>
      </c>
      <c r="D252">
        <f>VLOOKUP(C252,customers[],3,0)</f>
        <v>37</v>
      </c>
      <c r="E252" t="str">
        <f>VLOOKUP(C252,customers[],2,0)</f>
        <v>Male</v>
      </c>
      <c r="F252" t="str">
        <f>VLOOKUP(C252,customers[],4,0)</f>
        <v>Columbus</v>
      </c>
      <c r="G252">
        <v>56</v>
      </c>
      <c r="H252" s="17" t="s">
        <v>9</v>
      </c>
      <c r="I252" s="18">
        <v>45005</v>
      </c>
      <c r="J252">
        <v>31</v>
      </c>
      <c r="K252">
        <v>4.4000000000000004</v>
      </c>
      <c r="L252">
        <f>IF(MONTH(calls[[#This Row],[Date of Call]])&lt;=6, YEAR(calls[[#This Row],[Date of Call]]), YEAR(calls[[#This Row],[Date of Call]])+1)</f>
        <v>2023</v>
      </c>
      <c r="M252" t="str">
        <f>TEXT(calls[[#This Row],[Date of Call]],"DDDD")</f>
        <v>الإثنين</v>
      </c>
      <c r="N252" t="str" cm="1">
        <f t="array" ref="N252">_xlfn.IFS(calls[[#This Row],[Duration]]&lt;=10,"Under 10 mins", calls[[#This Row],[Duration]]&lt;=30, "10 to 30 mins", calls[[#This Row],[Duration]]&lt;=60, "30 to 60 mins", calls[[#This Row],[Duration]]&lt;=120, "1 to 2 hours", TRUE, "More than 2 hours")</f>
        <v>30 to 60 mins</v>
      </c>
      <c r="O252">
        <f>ROUND(calls[[#This Row],[Satisfaction Rating]],0)</f>
        <v>4</v>
      </c>
    </row>
    <row r="253" spans="2:15" x14ac:dyDescent="0.25">
      <c r="B253" t="s">
        <v>274</v>
      </c>
      <c r="C253" t="s">
        <v>7</v>
      </c>
      <c r="D253">
        <f>VLOOKUP(C253,customers[],3,0)</f>
        <v>30</v>
      </c>
      <c r="E253" t="str">
        <f>VLOOKUP(C253,customers[],2,0)</f>
        <v>Female</v>
      </c>
      <c r="F253" t="str">
        <f>VLOOKUP(C253,customers[],4,0)</f>
        <v>Cincinnati</v>
      </c>
      <c r="G253">
        <v>48</v>
      </c>
      <c r="H253" s="17" t="s">
        <v>8</v>
      </c>
      <c r="I253" s="18">
        <v>45005</v>
      </c>
      <c r="J253">
        <v>200</v>
      </c>
      <c r="K253">
        <v>3.9</v>
      </c>
      <c r="L253">
        <f>IF(MONTH(calls[[#This Row],[Date of Call]])&lt;=6, YEAR(calls[[#This Row],[Date of Call]]), YEAR(calls[[#This Row],[Date of Call]])+1)</f>
        <v>2023</v>
      </c>
      <c r="M253" t="str">
        <f>TEXT(calls[[#This Row],[Date of Call]],"DDDD")</f>
        <v>الإثنين</v>
      </c>
      <c r="N253" t="str" cm="1">
        <f t="array" ref="N253">_xlfn.IFS(calls[[#This Row],[Duration]]&lt;=10,"Under 10 mins", calls[[#This Row],[Duration]]&lt;=30, "10 to 30 mins", calls[[#This Row],[Duration]]&lt;=60, "30 to 60 mins", calls[[#This Row],[Duration]]&lt;=120, "1 to 2 hours", TRUE, "More than 2 hours")</f>
        <v>30 to 60 mins</v>
      </c>
      <c r="O253">
        <f>ROUND(calls[[#This Row],[Satisfaction Rating]],0)</f>
        <v>4</v>
      </c>
    </row>
    <row r="254" spans="2:15" x14ac:dyDescent="0.25">
      <c r="B254" t="s">
        <v>275</v>
      </c>
      <c r="C254" t="s">
        <v>11</v>
      </c>
      <c r="D254">
        <f>VLOOKUP(C254,customers[],3,0)</f>
        <v>36</v>
      </c>
      <c r="E254" t="str">
        <f>VLOOKUP(C254,customers[],2,0)</f>
        <v>Male</v>
      </c>
      <c r="F254" t="str">
        <f>VLOOKUP(C254,customers[],4,0)</f>
        <v>Cincinnati</v>
      </c>
      <c r="G254">
        <v>55</v>
      </c>
      <c r="H254" s="17" t="s">
        <v>9</v>
      </c>
      <c r="I254" s="18">
        <v>45005</v>
      </c>
      <c r="J254">
        <v>99</v>
      </c>
      <c r="K254">
        <v>2.7</v>
      </c>
      <c r="L254">
        <f>IF(MONTH(calls[[#This Row],[Date of Call]])&lt;=6, YEAR(calls[[#This Row],[Date of Call]]), YEAR(calls[[#This Row],[Date of Call]])+1)</f>
        <v>2023</v>
      </c>
      <c r="M254" t="str">
        <f>TEXT(calls[[#This Row],[Date of Call]],"DDDD")</f>
        <v>الإثنين</v>
      </c>
      <c r="N254" t="str" cm="1">
        <f t="array" ref="N254">_xlfn.IFS(calls[[#This Row],[Duration]]&lt;=10,"Under 10 mins", calls[[#This Row],[Duration]]&lt;=30, "10 to 30 mins", calls[[#This Row],[Duration]]&lt;=60, "30 to 60 mins", calls[[#This Row],[Duration]]&lt;=120, "1 to 2 hours", TRUE, "More than 2 hours")</f>
        <v>30 to 60 mins</v>
      </c>
      <c r="O254">
        <f>ROUND(calls[[#This Row],[Satisfaction Rating]],0)</f>
        <v>3</v>
      </c>
    </row>
    <row r="255" spans="2:15" x14ac:dyDescent="0.25">
      <c r="B255" t="s">
        <v>276</v>
      </c>
      <c r="C255" t="s">
        <v>20</v>
      </c>
      <c r="D255">
        <f>VLOOKUP(C255,customers[],3,0)</f>
        <v>38</v>
      </c>
      <c r="E255" t="str">
        <f>VLOOKUP(C255,customers[],2,0)</f>
        <v>Female</v>
      </c>
      <c r="F255" t="str">
        <f>VLOOKUP(C255,customers[],4,0)</f>
        <v>Columbus</v>
      </c>
      <c r="G255">
        <v>88</v>
      </c>
      <c r="H255" s="17" t="s">
        <v>5</v>
      </c>
      <c r="I255" s="18">
        <v>45005</v>
      </c>
      <c r="J255">
        <v>144</v>
      </c>
      <c r="K255">
        <v>2.9</v>
      </c>
      <c r="L255">
        <f>IF(MONTH(calls[[#This Row],[Date of Call]])&lt;=6, YEAR(calls[[#This Row],[Date of Call]]), YEAR(calls[[#This Row],[Date of Call]])+1)</f>
        <v>2023</v>
      </c>
      <c r="M255" t="str">
        <f>TEXT(calls[[#This Row],[Date of Call]],"DDDD")</f>
        <v>الإثنين</v>
      </c>
      <c r="N255" t="str" cm="1">
        <f t="array" ref="N255">_xlfn.IFS(calls[[#This Row],[Duration]]&lt;=10,"Under 10 mins", calls[[#This Row],[Duration]]&lt;=30, "10 to 30 mins", calls[[#This Row],[Duration]]&lt;=60, "30 to 60 mins", calls[[#This Row],[Duration]]&lt;=120, "1 to 2 hours", TRUE, "More than 2 hours")</f>
        <v>1 to 2 hours</v>
      </c>
      <c r="O255">
        <f>ROUND(calls[[#This Row],[Satisfaction Rating]],0)</f>
        <v>3</v>
      </c>
    </row>
    <row r="256" spans="2:15" x14ac:dyDescent="0.25">
      <c r="B256" t="s">
        <v>277</v>
      </c>
      <c r="C256" t="s">
        <v>22</v>
      </c>
      <c r="D256">
        <f>VLOOKUP(C256,customers[],3,0)</f>
        <v>37</v>
      </c>
      <c r="E256" t="str">
        <f>VLOOKUP(C256,customers[],2,0)</f>
        <v>Male</v>
      </c>
      <c r="F256" t="str">
        <f>VLOOKUP(C256,customers[],4,0)</f>
        <v>Columbus</v>
      </c>
      <c r="G256">
        <v>102</v>
      </c>
      <c r="H256" s="17" t="s">
        <v>10</v>
      </c>
      <c r="I256" s="18">
        <v>45006</v>
      </c>
      <c r="J256">
        <v>81</v>
      </c>
      <c r="K256">
        <v>4</v>
      </c>
      <c r="L256">
        <f>IF(MONTH(calls[[#This Row],[Date of Call]])&lt;=6, YEAR(calls[[#This Row],[Date of Call]]), YEAR(calls[[#This Row],[Date of Call]])+1)</f>
        <v>2023</v>
      </c>
      <c r="M256" t="str">
        <f>TEXT(calls[[#This Row],[Date of Call]],"DDDD")</f>
        <v>الثلاثاء</v>
      </c>
      <c r="N256" t="str" cm="1">
        <f t="array" ref="N256">_xlfn.IFS(calls[[#This Row],[Duration]]&lt;=10,"Under 10 mins", calls[[#This Row],[Duration]]&lt;=30, "10 to 30 mins", calls[[#This Row],[Duration]]&lt;=60, "30 to 60 mins", calls[[#This Row],[Duration]]&lt;=120, "1 to 2 hours", TRUE, "More than 2 hours")</f>
        <v>1 to 2 hours</v>
      </c>
      <c r="O256">
        <f>ROUND(calls[[#This Row],[Satisfaction Rating]],0)</f>
        <v>4</v>
      </c>
    </row>
    <row r="257" spans="2:15" x14ac:dyDescent="0.25">
      <c r="B257" t="s">
        <v>278</v>
      </c>
      <c r="C257" t="s">
        <v>20</v>
      </c>
      <c r="D257">
        <f>VLOOKUP(C257,customers[],3,0)</f>
        <v>38</v>
      </c>
      <c r="E257" t="str">
        <f>VLOOKUP(C257,customers[],2,0)</f>
        <v>Female</v>
      </c>
      <c r="F257" t="str">
        <f>VLOOKUP(C257,customers[],4,0)</f>
        <v>Columbus</v>
      </c>
      <c r="G257">
        <v>155</v>
      </c>
      <c r="H257" s="17" t="s">
        <v>5</v>
      </c>
      <c r="I257" s="18">
        <v>45006</v>
      </c>
      <c r="J257">
        <v>70</v>
      </c>
      <c r="K257">
        <v>4.4000000000000004</v>
      </c>
      <c r="L257">
        <f>IF(MONTH(calls[[#This Row],[Date of Call]])&lt;=6, YEAR(calls[[#This Row],[Date of Call]]), YEAR(calls[[#This Row],[Date of Call]])+1)</f>
        <v>2023</v>
      </c>
      <c r="M257" t="str">
        <f>TEXT(calls[[#This Row],[Date of Call]],"DDDD")</f>
        <v>الثلاثاء</v>
      </c>
      <c r="N257" t="str" cm="1">
        <f t="array" ref="N257">_xlfn.IFS(calls[[#This Row],[Duration]]&lt;=10,"Under 10 mins", calls[[#This Row],[Duration]]&lt;=30, "10 to 30 mins", calls[[#This Row],[Duration]]&lt;=60, "30 to 60 mins", calls[[#This Row],[Duration]]&lt;=120, "1 to 2 hours", TRUE, "More than 2 hours")</f>
        <v>More than 2 hours</v>
      </c>
      <c r="O257">
        <f>ROUND(calls[[#This Row],[Satisfaction Rating]],0)</f>
        <v>4</v>
      </c>
    </row>
    <row r="258" spans="2:15" x14ac:dyDescent="0.25">
      <c r="B258" t="s">
        <v>279</v>
      </c>
      <c r="C258" t="s">
        <v>11</v>
      </c>
      <c r="D258">
        <f>VLOOKUP(C258,customers[],3,0)</f>
        <v>36</v>
      </c>
      <c r="E258" t="str">
        <f>VLOOKUP(C258,customers[],2,0)</f>
        <v>Male</v>
      </c>
      <c r="F258" t="str">
        <f>VLOOKUP(C258,customers[],4,0)</f>
        <v>Cincinnati</v>
      </c>
      <c r="G258">
        <v>63</v>
      </c>
      <c r="H258" s="17" t="s">
        <v>5</v>
      </c>
      <c r="I258" s="18">
        <v>45006</v>
      </c>
      <c r="J258">
        <v>148</v>
      </c>
      <c r="K258">
        <v>5</v>
      </c>
      <c r="L258">
        <f>IF(MONTH(calls[[#This Row],[Date of Call]])&lt;=6, YEAR(calls[[#This Row],[Date of Call]]), YEAR(calls[[#This Row],[Date of Call]])+1)</f>
        <v>2023</v>
      </c>
      <c r="M258" t="str">
        <f>TEXT(calls[[#This Row],[Date of Call]],"DDDD")</f>
        <v>الثلاثاء</v>
      </c>
      <c r="N258" t="str" cm="1">
        <f t="array" ref="N258">_xlfn.IFS(calls[[#This Row],[Duration]]&lt;=10,"Under 10 mins", calls[[#This Row],[Duration]]&lt;=30, "10 to 30 mins", calls[[#This Row],[Duration]]&lt;=60, "30 to 60 mins", calls[[#This Row],[Duration]]&lt;=120, "1 to 2 hours", TRUE, "More than 2 hours")</f>
        <v>1 to 2 hours</v>
      </c>
      <c r="O258">
        <f>ROUND(calls[[#This Row],[Satisfaction Rating]],0)</f>
        <v>5</v>
      </c>
    </row>
    <row r="259" spans="2:15" x14ac:dyDescent="0.25">
      <c r="B259" t="s">
        <v>280</v>
      </c>
      <c r="C259" t="s">
        <v>14</v>
      </c>
      <c r="D259">
        <f>VLOOKUP(C259,customers[],3,0)</f>
        <v>22</v>
      </c>
      <c r="E259" t="str">
        <f>VLOOKUP(C259,customers[],2,0)</f>
        <v>Female</v>
      </c>
      <c r="F259" t="str">
        <f>VLOOKUP(C259,customers[],4,0)</f>
        <v>Cleveland</v>
      </c>
      <c r="G259">
        <v>59</v>
      </c>
      <c r="H259" s="17" t="s">
        <v>10</v>
      </c>
      <c r="I259" s="18">
        <v>45006</v>
      </c>
      <c r="J259">
        <v>215</v>
      </c>
      <c r="K259">
        <v>4.0999999999999996</v>
      </c>
      <c r="L259">
        <f>IF(MONTH(calls[[#This Row],[Date of Call]])&lt;=6, YEAR(calls[[#This Row],[Date of Call]]), YEAR(calls[[#This Row],[Date of Call]])+1)</f>
        <v>2023</v>
      </c>
      <c r="M259" t="str">
        <f>TEXT(calls[[#This Row],[Date of Call]],"DDDD")</f>
        <v>الثلاثاء</v>
      </c>
      <c r="N259" t="str" cm="1">
        <f t="array" ref="N259">_xlfn.IFS(calls[[#This Row],[Duration]]&lt;=10,"Under 10 mins", calls[[#This Row],[Duration]]&lt;=30, "10 to 30 mins", calls[[#This Row],[Duration]]&lt;=60, "30 to 60 mins", calls[[#This Row],[Duration]]&lt;=120, "1 to 2 hours", TRUE, "More than 2 hours")</f>
        <v>30 to 60 mins</v>
      </c>
      <c r="O259">
        <f>ROUND(calls[[#This Row],[Satisfaction Rating]],0)</f>
        <v>4</v>
      </c>
    </row>
    <row r="260" spans="2:15" x14ac:dyDescent="0.25">
      <c r="B260" t="s">
        <v>281</v>
      </c>
      <c r="C260" t="s">
        <v>14</v>
      </c>
      <c r="D260">
        <f>VLOOKUP(C260,customers[],3,0)</f>
        <v>22</v>
      </c>
      <c r="E260" t="str">
        <f>VLOOKUP(C260,customers[],2,0)</f>
        <v>Female</v>
      </c>
      <c r="F260" t="str">
        <f>VLOOKUP(C260,customers[],4,0)</f>
        <v>Cleveland</v>
      </c>
      <c r="G260">
        <v>144</v>
      </c>
      <c r="H260" s="17" t="s">
        <v>8</v>
      </c>
      <c r="I260" s="18">
        <v>45006</v>
      </c>
      <c r="J260">
        <v>124</v>
      </c>
      <c r="K260">
        <v>4.4000000000000004</v>
      </c>
      <c r="L260">
        <f>IF(MONTH(calls[[#This Row],[Date of Call]])&lt;=6, YEAR(calls[[#This Row],[Date of Call]]), YEAR(calls[[#This Row],[Date of Call]])+1)</f>
        <v>2023</v>
      </c>
      <c r="M260" t="str">
        <f>TEXT(calls[[#This Row],[Date of Call]],"DDDD")</f>
        <v>الثلاثاء</v>
      </c>
      <c r="N260" t="str" cm="1">
        <f t="array" ref="N260">_xlfn.IFS(calls[[#This Row],[Duration]]&lt;=10,"Under 10 mins", calls[[#This Row],[Duration]]&lt;=30, "10 to 30 mins", calls[[#This Row],[Duration]]&lt;=60, "30 to 60 mins", calls[[#This Row],[Duration]]&lt;=120, "1 to 2 hours", TRUE, "More than 2 hours")</f>
        <v>More than 2 hours</v>
      </c>
      <c r="O260">
        <f>ROUND(calls[[#This Row],[Satisfaction Rating]],0)</f>
        <v>4</v>
      </c>
    </row>
    <row r="261" spans="2:15" x14ac:dyDescent="0.25">
      <c r="B261" t="s">
        <v>282</v>
      </c>
      <c r="C261" t="s">
        <v>6</v>
      </c>
      <c r="D261">
        <f>VLOOKUP(C261,customers[],3,0)</f>
        <v>23</v>
      </c>
      <c r="E261" t="str">
        <f>VLOOKUP(C261,customers[],2,0)</f>
        <v>Male</v>
      </c>
      <c r="F261" t="str">
        <f>VLOOKUP(C261,customers[],4,0)</f>
        <v>Columbus</v>
      </c>
      <c r="G261">
        <v>113</v>
      </c>
      <c r="H261" s="17" t="s">
        <v>12</v>
      </c>
      <c r="I261" s="18">
        <v>45006</v>
      </c>
      <c r="J261">
        <v>168</v>
      </c>
      <c r="K261">
        <v>4.0999999999999996</v>
      </c>
      <c r="L261">
        <f>IF(MONTH(calls[[#This Row],[Date of Call]])&lt;=6, YEAR(calls[[#This Row],[Date of Call]]), YEAR(calls[[#This Row],[Date of Call]])+1)</f>
        <v>2023</v>
      </c>
      <c r="M261" t="str">
        <f>TEXT(calls[[#This Row],[Date of Call]],"DDDD")</f>
        <v>الثلاثاء</v>
      </c>
      <c r="N261" t="str" cm="1">
        <f t="array" ref="N261">_xlfn.IFS(calls[[#This Row],[Duration]]&lt;=10,"Under 10 mins", calls[[#This Row],[Duration]]&lt;=30, "10 to 30 mins", calls[[#This Row],[Duration]]&lt;=60, "30 to 60 mins", calls[[#This Row],[Duration]]&lt;=120, "1 to 2 hours", TRUE, "More than 2 hours")</f>
        <v>1 to 2 hours</v>
      </c>
      <c r="O261">
        <f>ROUND(calls[[#This Row],[Satisfaction Rating]],0)</f>
        <v>4</v>
      </c>
    </row>
    <row r="262" spans="2:15" x14ac:dyDescent="0.25">
      <c r="B262" t="s">
        <v>283</v>
      </c>
      <c r="C262" t="s">
        <v>15</v>
      </c>
      <c r="D262">
        <f>VLOOKUP(C262,customers[],3,0)</f>
        <v>28</v>
      </c>
      <c r="E262" t="str">
        <f>VLOOKUP(C262,customers[],2,0)</f>
        <v>Female</v>
      </c>
      <c r="F262" t="str">
        <f>VLOOKUP(C262,customers[],4,0)</f>
        <v>Cincinnati</v>
      </c>
      <c r="G262">
        <v>154</v>
      </c>
      <c r="H262" s="17" t="s">
        <v>9</v>
      </c>
      <c r="I262" s="18">
        <v>45006</v>
      </c>
      <c r="J262">
        <v>90</v>
      </c>
      <c r="K262">
        <v>4.5</v>
      </c>
      <c r="L262">
        <f>IF(MONTH(calls[[#This Row],[Date of Call]])&lt;=6, YEAR(calls[[#This Row],[Date of Call]]), YEAR(calls[[#This Row],[Date of Call]])+1)</f>
        <v>2023</v>
      </c>
      <c r="M262" t="str">
        <f>TEXT(calls[[#This Row],[Date of Call]],"DDDD")</f>
        <v>الثلاثاء</v>
      </c>
      <c r="N262" t="str" cm="1">
        <f t="array" ref="N262">_xlfn.IFS(calls[[#This Row],[Duration]]&lt;=10,"Under 10 mins", calls[[#This Row],[Duration]]&lt;=30, "10 to 30 mins", calls[[#This Row],[Duration]]&lt;=60, "30 to 60 mins", calls[[#This Row],[Duration]]&lt;=120, "1 to 2 hours", TRUE, "More than 2 hours")</f>
        <v>More than 2 hours</v>
      </c>
      <c r="O262">
        <f>ROUND(calls[[#This Row],[Satisfaction Rating]],0)</f>
        <v>5</v>
      </c>
    </row>
    <row r="263" spans="2:15" x14ac:dyDescent="0.25">
      <c r="B263" t="s">
        <v>284</v>
      </c>
      <c r="C263" t="s">
        <v>15</v>
      </c>
      <c r="D263">
        <f>VLOOKUP(C263,customers[],3,0)</f>
        <v>28</v>
      </c>
      <c r="E263" t="str">
        <f>VLOOKUP(C263,customers[],2,0)</f>
        <v>Female</v>
      </c>
      <c r="F263" t="str">
        <f>VLOOKUP(C263,customers[],4,0)</f>
        <v>Cincinnati</v>
      </c>
      <c r="G263">
        <v>58</v>
      </c>
      <c r="H263" s="17" t="s">
        <v>10</v>
      </c>
      <c r="I263" s="18">
        <v>45007</v>
      </c>
      <c r="J263">
        <v>176</v>
      </c>
      <c r="K263">
        <v>4.2</v>
      </c>
      <c r="L263">
        <f>IF(MONTH(calls[[#This Row],[Date of Call]])&lt;=6, YEAR(calls[[#This Row],[Date of Call]]), YEAR(calls[[#This Row],[Date of Call]])+1)</f>
        <v>2023</v>
      </c>
      <c r="M263" t="str">
        <f>TEXT(calls[[#This Row],[Date of Call]],"DDDD")</f>
        <v>الأربعاء</v>
      </c>
      <c r="N263" t="str" cm="1">
        <f t="array" ref="N263">_xlfn.IFS(calls[[#This Row],[Duration]]&lt;=10,"Under 10 mins", calls[[#This Row],[Duration]]&lt;=30, "10 to 30 mins", calls[[#This Row],[Duration]]&lt;=60, "30 to 60 mins", calls[[#This Row],[Duration]]&lt;=120, "1 to 2 hours", TRUE, "More than 2 hours")</f>
        <v>30 to 60 mins</v>
      </c>
      <c r="O263">
        <f>ROUND(calls[[#This Row],[Satisfaction Rating]],0)</f>
        <v>4</v>
      </c>
    </row>
    <row r="264" spans="2:15" x14ac:dyDescent="0.25">
      <c r="B264" t="s">
        <v>285</v>
      </c>
      <c r="C264" t="s">
        <v>7</v>
      </c>
      <c r="D264">
        <f>VLOOKUP(C264,customers[],3,0)</f>
        <v>30</v>
      </c>
      <c r="E264" t="str">
        <f>VLOOKUP(C264,customers[],2,0)</f>
        <v>Female</v>
      </c>
      <c r="F264" t="str">
        <f>VLOOKUP(C264,customers[],4,0)</f>
        <v>Cincinnati</v>
      </c>
      <c r="G264">
        <v>63</v>
      </c>
      <c r="H264" s="17" t="s">
        <v>5</v>
      </c>
      <c r="I264" s="18">
        <v>45007</v>
      </c>
      <c r="J264">
        <v>87</v>
      </c>
      <c r="K264">
        <v>4.5999999999999996</v>
      </c>
      <c r="L264">
        <f>IF(MONTH(calls[[#This Row],[Date of Call]])&lt;=6, YEAR(calls[[#This Row],[Date of Call]]), YEAR(calls[[#This Row],[Date of Call]])+1)</f>
        <v>2023</v>
      </c>
      <c r="M264" t="str">
        <f>TEXT(calls[[#This Row],[Date of Call]],"DDDD")</f>
        <v>الأربعاء</v>
      </c>
      <c r="N264" t="str" cm="1">
        <f t="array" ref="N264">_xlfn.IFS(calls[[#This Row],[Duration]]&lt;=10,"Under 10 mins", calls[[#This Row],[Duration]]&lt;=30, "10 to 30 mins", calls[[#This Row],[Duration]]&lt;=60, "30 to 60 mins", calls[[#This Row],[Duration]]&lt;=120, "1 to 2 hours", TRUE, "More than 2 hours")</f>
        <v>1 to 2 hours</v>
      </c>
      <c r="O264">
        <f>ROUND(calls[[#This Row],[Satisfaction Rating]],0)</f>
        <v>5</v>
      </c>
    </row>
    <row r="265" spans="2:15" x14ac:dyDescent="0.25">
      <c r="B265" t="s">
        <v>286</v>
      </c>
      <c r="C265" t="s">
        <v>21</v>
      </c>
      <c r="D265">
        <f>VLOOKUP(C265,customers[],3,0)</f>
        <v>25</v>
      </c>
      <c r="E265" t="str">
        <f>VLOOKUP(C265,customers[],2,0)</f>
        <v>Female</v>
      </c>
      <c r="F265" t="str">
        <f>VLOOKUP(C265,customers[],4,0)</f>
        <v>Columbus</v>
      </c>
      <c r="G265">
        <v>59</v>
      </c>
      <c r="H265" s="17" t="s">
        <v>8</v>
      </c>
      <c r="I265" s="18">
        <v>45007</v>
      </c>
      <c r="J265">
        <v>128</v>
      </c>
      <c r="K265">
        <v>4.5</v>
      </c>
      <c r="L265">
        <f>IF(MONTH(calls[[#This Row],[Date of Call]])&lt;=6, YEAR(calls[[#This Row],[Date of Call]]), YEAR(calls[[#This Row],[Date of Call]])+1)</f>
        <v>2023</v>
      </c>
      <c r="M265" t="str">
        <f>TEXT(calls[[#This Row],[Date of Call]],"DDDD")</f>
        <v>الأربعاء</v>
      </c>
      <c r="N265" t="str" cm="1">
        <f t="array" ref="N265">_xlfn.IFS(calls[[#This Row],[Duration]]&lt;=10,"Under 10 mins", calls[[#This Row],[Duration]]&lt;=30, "10 to 30 mins", calls[[#This Row],[Duration]]&lt;=60, "30 to 60 mins", calls[[#This Row],[Duration]]&lt;=120, "1 to 2 hours", TRUE, "More than 2 hours")</f>
        <v>30 to 60 mins</v>
      </c>
      <c r="O265">
        <f>ROUND(calls[[#This Row],[Satisfaction Rating]],0)</f>
        <v>5</v>
      </c>
    </row>
    <row r="266" spans="2:15" x14ac:dyDescent="0.25">
      <c r="B266" t="s">
        <v>287</v>
      </c>
      <c r="C266" t="s">
        <v>4</v>
      </c>
      <c r="D266">
        <f>VLOOKUP(C266,customers[],3,0)</f>
        <v>42</v>
      </c>
      <c r="E266" t="str">
        <f>VLOOKUP(C266,customers[],2,0)</f>
        <v>Female</v>
      </c>
      <c r="F266" t="str">
        <f>VLOOKUP(C266,customers[],4,0)</f>
        <v>Cleveland</v>
      </c>
      <c r="G266">
        <v>129</v>
      </c>
      <c r="H266" s="17" t="s">
        <v>5</v>
      </c>
      <c r="I266" s="18">
        <v>45007</v>
      </c>
      <c r="J266">
        <v>120</v>
      </c>
      <c r="K266">
        <v>4.0999999999999996</v>
      </c>
      <c r="L266">
        <f>IF(MONTH(calls[[#This Row],[Date of Call]])&lt;=6, YEAR(calls[[#This Row],[Date of Call]]), YEAR(calls[[#This Row],[Date of Call]])+1)</f>
        <v>2023</v>
      </c>
      <c r="M266" t="str">
        <f>TEXT(calls[[#This Row],[Date of Call]],"DDDD")</f>
        <v>الأربعاء</v>
      </c>
      <c r="N266" t="str" cm="1">
        <f t="array" ref="N266">_xlfn.IFS(calls[[#This Row],[Duration]]&lt;=10,"Under 10 mins", calls[[#This Row],[Duration]]&lt;=30, "10 to 30 mins", calls[[#This Row],[Duration]]&lt;=60, "30 to 60 mins", calls[[#This Row],[Duration]]&lt;=120, "1 to 2 hours", TRUE, "More than 2 hours")</f>
        <v>More than 2 hours</v>
      </c>
      <c r="O266">
        <f>ROUND(calls[[#This Row],[Satisfaction Rating]],0)</f>
        <v>4</v>
      </c>
    </row>
    <row r="267" spans="2:15" x14ac:dyDescent="0.25">
      <c r="B267" t="s">
        <v>288</v>
      </c>
      <c r="C267" t="s">
        <v>23</v>
      </c>
      <c r="D267">
        <f>VLOOKUP(C267,customers[],3,0)</f>
        <v>31</v>
      </c>
      <c r="E267" t="str">
        <f>VLOOKUP(C267,customers[],2,0)</f>
        <v>Male</v>
      </c>
      <c r="F267" t="str">
        <f>VLOOKUP(C267,customers[],4,0)</f>
        <v>Cleveland</v>
      </c>
      <c r="G267">
        <v>101</v>
      </c>
      <c r="H267" s="17" t="s">
        <v>12</v>
      </c>
      <c r="I267" s="18">
        <v>45007</v>
      </c>
      <c r="J267">
        <v>130</v>
      </c>
      <c r="K267">
        <v>4.8</v>
      </c>
      <c r="L267">
        <f>IF(MONTH(calls[[#This Row],[Date of Call]])&lt;=6, YEAR(calls[[#This Row],[Date of Call]]), YEAR(calls[[#This Row],[Date of Call]])+1)</f>
        <v>2023</v>
      </c>
      <c r="M267" t="str">
        <f>TEXT(calls[[#This Row],[Date of Call]],"DDDD")</f>
        <v>الأربعاء</v>
      </c>
      <c r="N267" t="str" cm="1">
        <f t="array" ref="N267">_xlfn.IFS(calls[[#This Row],[Duration]]&lt;=10,"Under 10 mins", calls[[#This Row],[Duration]]&lt;=30, "10 to 30 mins", calls[[#This Row],[Duration]]&lt;=60, "30 to 60 mins", calls[[#This Row],[Duration]]&lt;=120, "1 to 2 hours", TRUE, "More than 2 hours")</f>
        <v>1 to 2 hours</v>
      </c>
      <c r="O267">
        <f>ROUND(calls[[#This Row],[Satisfaction Rating]],0)</f>
        <v>5</v>
      </c>
    </row>
    <row r="268" spans="2:15" x14ac:dyDescent="0.25">
      <c r="B268" t="s">
        <v>289</v>
      </c>
      <c r="C268" t="s">
        <v>18</v>
      </c>
      <c r="D268">
        <f>VLOOKUP(C268,customers[],3,0)</f>
        <v>43</v>
      </c>
      <c r="E268" t="str">
        <f>VLOOKUP(C268,customers[],2,0)</f>
        <v>Female</v>
      </c>
      <c r="F268" t="str">
        <f>VLOOKUP(C268,customers[],4,0)</f>
        <v>Cleveland</v>
      </c>
      <c r="G268">
        <v>154</v>
      </c>
      <c r="H268" s="17" t="s">
        <v>8</v>
      </c>
      <c r="I268" s="18">
        <v>45007</v>
      </c>
      <c r="J268">
        <v>172</v>
      </c>
      <c r="K268">
        <v>3.1</v>
      </c>
      <c r="L268">
        <f>IF(MONTH(calls[[#This Row],[Date of Call]])&lt;=6, YEAR(calls[[#This Row],[Date of Call]]), YEAR(calls[[#This Row],[Date of Call]])+1)</f>
        <v>2023</v>
      </c>
      <c r="M268" t="str">
        <f>TEXT(calls[[#This Row],[Date of Call]],"DDDD")</f>
        <v>الأربعاء</v>
      </c>
      <c r="N268" t="str" cm="1">
        <f t="array" ref="N268">_xlfn.IFS(calls[[#This Row],[Duration]]&lt;=10,"Under 10 mins", calls[[#This Row],[Duration]]&lt;=30, "10 to 30 mins", calls[[#This Row],[Duration]]&lt;=60, "30 to 60 mins", calls[[#This Row],[Duration]]&lt;=120, "1 to 2 hours", TRUE, "More than 2 hours")</f>
        <v>More than 2 hours</v>
      </c>
      <c r="O268">
        <f>ROUND(calls[[#This Row],[Satisfaction Rating]],0)</f>
        <v>3</v>
      </c>
    </row>
    <row r="269" spans="2:15" x14ac:dyDescent="0.25">
      <c r="B269" t="s">
        <v>290</v>
      </c>
      <c r="C269" t="s">
        <v>17</v>
      </c>
      <c r="D269">
        <f>VLOOKUP(C269,customers[],3,0)</f>
        <v>30</v>
      </c>
      <c r="E269" t="str">
        <f>VLOOKUP(C269,customers[],2,0)</f>
        <v>Female</v>
      </c>
      <c r="F269" t="str">
        <f>VLOOKUP(C269,customers[],4,0)</f>
        <v>Cleveland</v>
      </c>
      <c r="G269">
        <v>131</v>
      </c>
      <c r="H269" s="17" t="s">
        <v>8</v>
      </c>
      <c r="I269" s="18">
        <v>45007</v>
      </c>
      <c r="J269">
        <v>58</v>
      </c>
      <c r="K269">
        <v>4.9000000000000004</v>
      </c>
      <c r="L269">
        <f>IF(MONTH(calls[[#This Row],[Date of Call]])&lt;=6, YEAR(calls[[#This Row],[Date of Call]]), YEAR(calls[[#This Row],[Date of Call]])+1)</f>
        <v>2023</v>
      </c>
      <c r="M269" t="str">
        <f>TEXT(calls[[#This Row],[Date of Call]],"DDDD")</f>
        <v>الأربعاء</v>
      </c>
      <c r="N269" t="str" cm="1">
        <f t="array" ref="N269">_xlfn.IFS(calls[[#This Row],[Duration]]&lt;=10,"Under 10 mins", calls[[#This Row],[Duration]]&lt;=30, "10 to 30 mins", calls[[#This Row],[Duration]]&lt;=60, "30 to 60 mins", calls[[#This Row],[Duration]]&lt;=120, "1 to 2 hours", TRUE, "More than 2 hours")</f>
        <v>More than 2 hours</v>
      </c>
      <c r="O269">
        <f>ROUND(calls[[#This Row],[Satisfaction Rating]],0)</f>
        <v>5</v>
      </c>
    </row>
    <row r="270" spans="2:15" x14ac:dyDescent="0.25">
      <c r="B270" t="s">
        <v>291</v>
      </c>
      <c r="C270" t="s">
        <v>14</v>
      </c>
      <c r="D270">
        <f>VLOOKUP(C270,customers[],3,0)</f>
        <v>22</v>
      </c>
      <c r="E270" t="str">
        <f>VLOOKUP(C270,customers[],2,0)</f>
        <v>Female</v>
      </c>
      <c r="F270" t="str">
        <f>VLOOKUP(C270,customers[],4,0)</f>
        <v>Cleveland</v>
      </c>
      <c r="G270">
        <v>111</v>
      </c>
      <c r="H270" s="17" t="s">
        <v>12</v>
      </c>
      <c r="I270" s="18">
        <v>45008</v>
      </c>
      <c r="J270">
        <v>86</v>
      </c>
      <c r="K270">
        <v>4.0999999999999996</v>
      </c>
      <c r="L270">
        <f>IF(MONTH(calls[[#This Row],[Date of Call]])&lt;=6, YEAR(calls[[#This Row],[Date of Call]]), YEAR(calls[[#This Row],[Date of Call]])+1)</f>
        <v>2023</v>
      </c>
      <c r="M270" t="str">
        <f>TEXT(calls[[#This Row],[Date of Call]],"DDDD")</f>
        <v>الخميس</v>
      </c>
      <c r="N270" t="str" cm="1">
        <f t="array" ref="N270">_xlfn.IFS(calls[[#This Row],[Duration]]&lt;=10,"Under 10 mins", calls[[#This Row],[Duration]]&lt;=30, "10 to 30 mins", calls[[#This Row],[Duration]]&lt;=60, "30 to 60 mins", calls[[#This Row],[Duration]]&lt;=120, "1 to 2 hours", TRUE, "More than 2 hours")</f>
        <v>1 to 2 hours</v>
      </c>
      <c r="O270">
        <f>ROUND(calls[[#This Row],[Satisfaction Rating]],0)</f>
        <v>4</v>
      </c>
    </row>
    <row r="271" spans="2:15" x14ac:dyDescent="0.25">
      <c r="B271" t="s">
        <v>292</v>
      </c>
      <c r="C271" t="s">
        <v>15</v>
      </c>
      <c r="D271">
        <f>VLOOKUP(C271,customers[],3,0)</f>
        <v>28</v>
      </c>
      <c r="E271" t="str">
        <f>VLOOKUP(C271,customers[],2,0)</f>
        <v>Female</v>
      </c>
      <c r="F271" t="str">
        <f>VLOOKUP(C271,customers[],4,0)</f>
        <v>Cincinnati</v>
      </c>
      <c r="G271">
        <v>142</v>
      </c>
      <c r="H271" s="17" t="s">
        <v>12</v>
      </c>
      <c r="I271" s="18">
        <v>45009</v>
      </c>
      <c r="J271">
        <v>31</v>
      </c>
      <c r="K271">
        <v>4.4000000000000004</v>
      </c>
      <c r="L271">
        <f>IF(MONTH(calls[[#This Row],[Date of Call]])&lt;=6, YEAR(calls[[#This Row],[Date of Call]]), YEAR(calls[[#This Row],[Date of Call]])+1)</f>
        <v>2023</v>
      </c>
      <c r="M271" t="str">
        <f>TEXT(calls[[#This Row],[Date of Call]],"DDDD")</f>
        <v>الجمعة</v>
      </c>
      <c r="N271" t="str" cm="1">
        <f t="array" ref="N271">_xlfn.IFS(calls[[#This Row],[Duration]]&lt;=10,"Under 10 mins", calls[[#This Row],[Duration]]&lt;=30, "10 to 30 mins", calls[[#This Row],[Duration]]&lt;=60, "30 to 60 mins", calls[[#This Row],[Duration]]&lt;=120, "1 to 2 hours", TRUE, "More than 2 hours")</f>
        <v>More than 2 hours</v>
      </c>
      <c r="O271">
        <f>ROUND(calls[[#This Row],[Satisfaction Rating]],0)</f>
        <v>4</v>
      </c>
    </row>
    <row r="272" spans="2:15" x14ac:dyDescent="0.25">
      <c r="B272" t="s">
        <v>293</v>
      </c>
      <c r="C272" t="s">
        <v>22</v>
      </c>
      <c r="D272">
        <f>VLOOKUP(C272,customers[],3,0)</f>
        <v>37</v>
      </c>
      <c r="E272" t="str">
        <f>VLOOKUP(C272,customers[],2,0)</f>
        <v>Male</v>
      </c>
      <c r="F272" t="str">
        <f>VLOOKUP(C272,customers[],4,0)</f>
        <v>Columbus</v>
      </c>
      <c r="G272">
        <v>93</v>
      </c>
      <c r="H272" s="17" t="s">
        <v>5</v>
      </c>
      <c r="I272" s="18">
        <v>45009</v>
      </c>
      <c r="J272">
        <v>72</v>
      </c>
      <c r="K272">
        <v>4.4000000000000004</v>
      </c>
      <c r="L272">
        <f>IF(MONTH(calls[[#This Row],[Date of Call]])&lt;=6, YEAR(calls[[#This Row],[Date of Call]]), YEAR(calls[[#This Row],[Date of Call]])+1)</f>
        <v>2023</v>
      </c>
      <c r="M272" t="str">
        <f>TEXT(calls[[#This Row],[Date of Call]],"DDDD")</f>
        <v>الجمعة</v>
      </c>
      <c r="N272" t="str" cm="1">
        <f t="array" ref="N272">_xlfn.IFS(calls[[#This Row],[Duration]]&lt;=10,"Under 10 mins", calls[[#This Row],[Duration]]&lt;=30, "10 to 30 mins", calls[[#This Row],[Duration]]&lt;=60, "30 to 60 mins", calls[[#This Row],[Duration]]&lt;=120, "1 to 2 hours", TRUE, "More than 2 hours")</f>
        <v>1 to 2 hours</v>
      </c>
      <c r="O272">
        <f>ROUND(calls[[#This Row],[Satisfaction Rating]],0)</f>
        <v>4</v>
      </c>
    </row>
    <row r="273" spans="2:15" x14ac:dyDescent="0.25">
      <c r="B273" t="s">
        <v>294</v>
      </c>
      <c r="C273" t="s">
        <v>15</v>
      </c>
      <c r="D273">
        <f>VLOOKUP(C273,customers[],3,0)</f>
        <v>28</v>
      </c>
      <c r="E273" t="str">
        <f>VLOOKUP(C273,customers[],2,0)</f>
        <v>Female</v>
      </c>
      <c r="F273" t="str">
        <f>VLOOKUP(C273,customers[],4,0)</f>
        <v>Cincinnati</v>
      </c>
      <c r="G273">
        <v>125</v>
      </c>
      <c r="H273" s="17" t="s">
        <v>9</v>
      </c>
      <c r="I273" s="18">
        <v>45010</v>
      </c>
      <c r="J273">
        <v>27</v>
      </c>
      <c r="K273">
        <v>3</v>
      </c>
      <c r="L273">
        <f>IF(MONTH(calls[[#This Row],[Date of Call]])&lt;=6, YEAR(calls[[#This Row],[Date of Call]]), YEAR(calls[[#This Row],[Date of Call]])+1)</f>
        <v>2023</v>
      </c>
      <c r="M273" t="str">
        <f>TEXT(calls[[#This Row],[Date of Call]],"DDDD")</f>
        <v>السبت</v>
      </c>
      <c r="N273" t="str" cm="1">
        <f t="array" ref="N273">_xlfn.IFS(calls[[#This Row],[Duration]]&lt;=10,"Under 10 mins", calls[[#This Row],[Duration]]&lt;=30, "10 to 30 mins", calls[[#This Row],[Duration]]&lt;=60, "30 to 60 mins", calls[[#This Row],[Duration]]&lt;=120, "1 to 2 hours", TRUE, "More than 2 hours")</f>
        <v>More than 2 hours</v>
      </c>
      <c r="O273">
        <f>ROUND(calls[[#This Row],[Satisfaction Rating]],0)</f>
        <v>3</v>
      </c>
    </row>
    <row r="274" spans="2:15" x14ac:dyDescent="0.25">
      <c r="B274" t="s">
        <v>295</v>
      </c>
      <c r="C274" t="s">
        <v>4</v>
      </c>
      <c r="D274">
        <f>VLOOKUP(C274,customers[],3,0)</f>
        <v>42</v>
      </c>
      <c r="E274" t="str">
        <f>VLOOKUP(C274,customers[],2,0)</f>
        <v>Female</v>
      </c>
      <c r="F274" t="str">
        <f>VLOOKUP(C274,customers[],4,0)</f>
        <v>Cleveland</v>
      </c>
      <c r="G274">
        <v>76</v>
      </c>
      <c r="H274" s="17" t="s">
        <v>8</v>
      </c>
      <c r="I274" s="18">
        <v>45010</v>
      </c>
      <c r="J274">
        <v>110</v>
      </c>
      <c r="K274">
        <v>4.4000000000000004</v>
      </c>
      <c r="L274">
        <f>IF(MONTH(calls[[#This Row],[Date of Call]])&lt;=6, YEAR(calls[[#This Row],[Date of Call]]), YEAR(calls[[#This Row],[Date of Call]])+1)</f>
        <v>2023</v>
      </c>
      <c r="M274" t="str">
        <f>TEXT(calls[[#This Row],[Date of Call]],"DDDD")</f>
        <v>السبت</v>
      </c>
      <c r="N274" t="str" cm="1">
        <f t="array" ref="N274">_xlfn.IFS(calls[[#This Row],[Duration]]&lt;=10,"Under 10 mins", calls[[#This Row],[Duration]]&lt;=30, "10 to 30 mins", calls[[#This Row],[Duration]]&lt;=60, "30 to 60 mins", calls[[#This Row],[Duration]]&lt;=120, "1 to 2 hours", TRUE, "More than 2 hours")</f>
        <v>1 to 2 hours</v>
      </c>
      <c r="O274">
        <f>ROUND(calls[[#This Row],[Satisfaction Rating]],0)</f>
        <v>4</v>
      </c>
    </row>
    <row r="275" spans="2:15" x14ac:dyDescent="0.25">
      <c r="B275" t="s">
        <v>296</v>
      </c>
      <c r="C275" t="s">
        <v>6</v>
      </c>
      <c r="D275">
        <f>VLOOKUP(C275,customers[],3,0)</f>
        <v>23</v>
      </c>
      <c r="E275" t="str">
        <f>VLOOKUP(C275,customers[],2,0)</f>
        <v>Male</v>
      </c>
      <c r="F275" t="str">
        <f>VLOOKUP(C275,customers[],4,0)</f>
        <v>Columbus</v>
      </c>
      <c r="G275">
        <v>69</v>
      </c>
      <c r="H275" s="17" t="s">
        <v>5</v>
      </c>
      <c r="I275" s="18">
        <v>45010</v>
      </c>
      <c r="J275">
        <v>126</v>
      </c>
      <c r="K275">
        <v>3.7</v>
      </c>
      <c r="L275">
        <f>IF(MONTH(calls[[#This Row],[Date of Call]])&lt;=6, YEAR(calls[[#This Row],[Date of Call]]), YEAR(calls[[#This Row],[Date of Call]])+1)</f>
        <v>2023</v>
      </c>
      <c r="M275" t="str">
        <f>TEXT(calls[[#This Row],[Date of Call]],"DDDD")</f>
        <v>السبت</v>
      </c>
      <c r="N275" t="str" cm="1">
        <f t="array" ref="N275">_xlfn.IFS(calls[[#This Row],[Duration]]&lt;=10,"Under 10 mins", calls[[#This Row],[Duration]]&lt;=30, "10 to 30 mins", calls[[#This Row],[Duration]]&lt;=60, "30 to 60 mins", calls[[#This Row],[Duration]]&lt;=120, "1 to 2 hours", TRUE, "More than 2 hours")</f>
        <v>1 to 2 hours</v>
      </c>
      <c r="O275">
        <f>ROUND(calls[[#This Row],[Satisfaction Rating]],0)</f>
        <v>4</v>
      </c>
    </row>
    <row r="276" spans="2:15" x14ac:dyDescent="0.25">
      <c r="B276" t="s">
        <v>297</v>
      </c>
      <c r="C276" t="s">
        <v>21</v>
      </c>
      <c r="D276">
        <f>VLOOKUP(C276,customers[],3,0)</f>
        <v>25</v>
      </c>
      <c r="E276" t="str">
        <f>VLOOKUP(C276,customers[],2,0)</f>
        <v>Female</v>
      </c>
      <c r="F276" t="str">
        <f>VLOOKUP(C276,customers[],4,0)</f>
        <v>Columbus</v>
      </c>
      <c r="G276">
        <v>149</v>
      </c>
      <c r="H276" s="17" t="s">
        <v>9</v>
      </c>
      <c r="I276" s="18">
        <v>45010</v>
      </c>
      <c r="J276">
        <v>60</v>
      </c>
      <c r="K276">
        <v>3.9</v>
      </c>
      <c r="L276">
        <f>IF(MONTH(calls[[#This Row],[Date of Call]])&lt;=6, YEAR(calls[[#This Row],[Date of Call]]), YEAR(calls[[#This Row],[Date of Call]])+1)</f>
        <v>2023</v>
      </c>
      <c r="M276" t="str">
        <f>TEXT(calls[[#This Row],[Date of Call]],"DDDD")</f>
        <v>السبت</v>
      </c>
      <c r="N276" t="str" cm="1">
        <f t="array" ref="N276">_xlfn.IFS(calls[[#This Row],[Duration]]&lt;=10,"Under 10 mins", calls[[#This Row],[Duration]]&lt;=30, "10 to 30 mins", calls[[#This Row],[Duration]]&lt;=60, "30 to 60 mins", calls[[#This Row],[Duration]]&lt;=120, "1 to 2 hours", TRUE, "More than 2 hours")</f>
        <v>More than 2 hours</v>
      </c>
      <c r="O276">
        <f>ROUND(calls[[#This Row],[Satisfaction Rating]],0)</f>
        <v>4</v>
      </c>
    </row>
    <row r="277" spans="2:15" x14ac:dyDescent="0.25">
      <c r="B277" t="s">
        <v>298</v>
      </c>
      <c r="C277" t="s">
        <v>15</v>
      </c>
      <c r="D277">
        <f>VLOOKUP(C277,customers[],3,0)</f>
        <v>28</v>
      </c>
      <c r="E277" t="str">
        <f>VLOOKUP(C277,customers[],2,0)</f>
        <v>Female</v>
      </c>
      <c r="F277" t="str">
        <f>VLOOKUP(C277,customers[],4,0)</f>
        <v>Cincinnati</v>
      </c>
      <c r="G277">
        <v>57</v>
      </c>
      <c r="H277" s="17" t="s">
        <v>5</v>
      </c>
      <c r="I277" s="18">
        <v>45010</v>
      </c>
      <c r="J277">
        <v>35</v>
      </c>
      <c r="K277">
        <v>3.5</v>
      </c>
      <c r="L277">
        <f>IF(MONTH(calls[[#This Row],[Date of Call]])&lt;=6, YEAR(calls[[#This Row],[Date of Call]]), YEAR(calls[[#This Row],[Date of Call]])+1)</f>
        <v>2023</v>
      </c>
      <c r="M277" t="str">
        <f>TEXT(calls[[#This Row],[Date of Call]],"DDDD")</f>
        <v>السبت</v>
      </c>
      <c r="N277" t="str" cm="1">
        <f t="array" ref="N277">_xlfn.IFS(calls[[#This Row],[Duration]]&lt;=10,"Under 10 mins", calls[[#This Row],[Duration]]&lt;=30, "10 to 30 mins", calls[[#This Row],[Duration]]&lt;=60, "30 to 60 mins", calls[[#This Row],[Duration]]&lt;=120, "1 to 2 hours", TRUE, "More than 2 hours")</f>
        <v>30 to 60 mins</v>
      </c>
      <c r="O277">
        <f>ROUND(calls[[#This Row],[Satisfaction Rating]],0)</f>
        <v>4</v>
      </c>
    </row>
    <row r="278" spans="2:15" x14ac:dyDescent="0.25">
      <c r="B278" t="s">
        <v>299</v>
      </c>
      <c r="C278" t="s">
        <v>11</v>
      </c>
      <c r="D278">
        <f>VLOOKUP(C278,customers[],3,0)</f>
        <v>36</v>
      </c>
      <c r="E278" t="str">
        <f>VLOOKUP(C278,customers[],2,0)</f>
        <v>Male</v>
      </c>
      <c r="F278" t="str">
        <f>VLOOKUP(C278,customers[],4,0)</f>
        <v>Cincinnati</v>
      </c>
      <c r="G278">
        <v>113</v>
      </c>
      <c r="H278" s="17" t="s">
        <v>8</v>
      </c>
      <c r="I278" s="18">
        <v>45010</v>
      </c>
      <c r="J278">
        <v>81</v>
      </c>
      <c r="K278">
        <v>3.5</v>
      </c>
      <c r="L278">
        <f>IF(MONTH(calls[[#This Row],[Date of Call]])&lt;=6, YEAR(calls[[#This Row],[Date of Call]]), YEAR(calls[[#This Row],[Date of Call]])+1)</f>
        <v>2023</v>
      </c>
      <c r="M278" t="str">
        <f>TEXT(calls[[#This Row],[Date of Call]],"DDDD")</f>
        <v>السبت</v>
      </c>
      <c r="N278" t="str" cm="1">
        <f t="array" ref="N278">_xlfn.IFS(calls[[#This Row],[Duration]]&lt;=10,"Under 10 mins", calls[[#This Row],[Duration]]&lt;=30, "10 to 30 mins", calls[[#This Row],[Duration]]&lt;=60, "30 to 60 mins", calls[[#This Row],[Duration]]&lt;=120, "1 to 2 hours", TRUE, "More than 2 hours")</f>
        <v>1 to 2 hours</v>
      </c>
      <c r="O278">
        <f>ROUND(calls[[#This Row],[Satisfaction Rating]],0)</f>
        <v>4</v>
      </c>
    </row>
    <row r="279" spans="2:15" x14ac:dyDescent="0.25">
      <c r="B279" t="s">
        <v>300</v>
      </c>
      <c r="C279" t="s">
        <v>19</v>
      </c>
      <c r="D279">
        <f>VLOOKUP(C279,customers[],3,0)</f>
        <v>26</v>
      </c>
      <c r="E279" t="str">
        <f>VLOOKUP(C279,customers[],2,0)</f>
        <v>Male</v>
      </c>
      <c r="F279" t="str">
        <f>VLOOKUP(C279,customers[],4,0)</f>
        <v>Cincinnati</v>
      </c>
      <c r="G279">
        <v>160</v>
      </c>
      <c r="H279" s="17" t="s">
        <v>9</v>
      </c>
      <c r="I279" s="18">
        <v>45010</v>
      </c>
      <c r="J279">
        <v>116</v>
      </c>
      <c r="K279">
        <v>3.4</v>
      </c>
      <c r="L279">
        <f>IF(MONTH(calls[[#This Row],[Date of Call]])&lt;=6, YEAR(calls[[#This Row],[Date of Call]]), YEAR(calls[[#This Row],[Date of Call]])+1)</f>
        <v>2023</v>
      </c>
      <c r="M279" t="str">
        <f>TEXT(calls[[#This Row],[Date of Call]],"DDDD")</f>
        <v>السبت</v>
      </c>
      <c r="N279" t="str" cm="1">
        <f t="array" ref="N279">_xlfn.IFS(calls[[#This Row],[Duration]]&lt;=10,"Under 10 mins", calls[[#This Row],[Duration]]&lt;=30, "10 to 30 mins", calls[[#This Row],[Duration]]&lt;=60, "30 to 60 mins", calls[[#This Row],[Duration]]&lt;=120, "1 to 2 hours", TRUE, "More than 2 hours")</f>
        <v>More than 2 hours</v>
      </c>
      <c r="O279">
        <f>ROUND(calls[[#This Row],[Satisfaction Rating]],0)</f>
        <v>3</v>
      </c>
    </row>
    <row r="280" spans="2:15" x14ac:dyDescent="0.25">
      <c r="B280" t="s">
        <v>301</v>
      </c>
      <c r="C280" t="s">
        <v>7</v>
      </c>
      <c r="D280">
        <f>VLOOKUP(C280,customers[],3,0)</f>
        <v>30</v>
      </c>
      <c r="E280" t="str">
        <f>VLOOKUP(C280,customers[],2,0)</f>
        <v>Female</v>
      </c>
      <c r="F280" t="str">
        <f>VLOOKUP(C280,customers[],4,0)</f>
        <v>Cincinnati</v>
      </c>
      <c r="G280">
        <v>158</v>
      </c>
      <c r="H280" s="17" t="s">
        <v>10</v>
      </c>
      <c r="I280" s="18">
        <v>45010</v>
      </c>
      <c r="J280">
        <v>60</v>
      </c>
      <c r="K280">
        <v>4.5</v>
      </c>
      <c r="L280">
        <f>IF(MONTH(calls[[#This Row],[Date of Call]])&lt;=6, YEAR(calls[[#This Row],[Date of Call]]), YEAR(calls[[#This Row],[Date of Call]])+1)</f>
        <v>2023</v>
      </c>
      <c r="M280" t="str">
        <f>TEXT(calls[[#This Row],[Date of Call]],"DDDD")</f>
        <v>السبت</v>
      </c>
      <c r="N280" t="str" cm="1">
        <f t="array" ref="N280">_xlfn.IFS(calls[[#This Row],[Duration]]&lt;=10,"Under 10 mins", calls[[#This Row],[Duration]]&lt;=30, "10 to 30 mins", calls[[#This Row],[Duration]]&lt;=60, "30 to 60 mins", calls[[#This Row],[Duration]]&lt;=120, "1 to 2 hours", TRUE, "More than 2 hours")</f>
        <v>More than 2 hours</v>
      </c>
      <c r="O280">
        <f>ROUND(calls[[#This Row],[Satisfaction Rating]],0)</f>
        <v>5</v>
      </c>
    </row>
    <row r="281" spans="2:15" x14ac:dyDescent="0.25">
      <c r="B281" t="s">
        <v>302</v>
      </c>
      <c r="C281" t="s">
        <v>6</v>
      </c>
      <c r="D281">
        <f>VLOOKUP(C281,customers[],3,0)</f>
        <v>23</v>
      </c>
      <c r="E281" t="str">
        <f>VLOOKUP(C281,customers[],2,0)</f>
        <v>Male</v>
      </c>
      <c r="F281" t="str">
        <f>VLOOKUP(C281,customers[],4,0)</f>
        <v>Columbus</v>
      </c>
      <c r="G281">
        <v>77</v>
      </c>
      <c r="H281" s="17" t="s">
        <v>9</v>
      </c>
      <c r="I281" s="18">
        <v>45011</v>
      </c>
      <c r="J281">
        <v>130</v>
      </c>
      <c r="K281">
        <v>4.2</v>
      </c>
      <c r="L281">
        <f>IF(MONTH(calls[[#This Row],[Date of Call]])&lt;=6, YEAR(calls[[#This Row],[Date of Call]]), YEAR(calls[[#This Row],[Date of Call]])+1)</f>
        <v>2023</v>
      </c>
      <c r="M281" t="str">
        <f>TEXT(calls[[#This Row],[Date of Call]],"DDDD")</f>
        <v>الأحد</v>
      </c>
      <c r="N281" t="str" cm="1">
        <f t="array" ref="N281">_xlfn.IFS(calls[[#This Row],[Duration]]&lt;=10,"Under 10 mins", calls[[#This Row],[Duration]]&lt;=30, "10 to 30 mins", calls[[#This Row],[Duration]]&lt;=60, "30 to 60 mins", calls[[#This Row],[Duration]]&lt;=120, "1 to 2 hours", TRUE, "More than 2 hours")</f>
        <v>1 to 2 hours</v>
      </c>
      <c r="O281">
        <f>ROUND(calls[[#This Row],[Satisfaction Rating]],0)</f>
        <v>4</v>
      </c>
    </row>
    <row r="282" spans="2:15" x14ac:dyDescent="0.25">
      <c r="B282" t="s">
        <v>303</v>
      </c>
      <c r="C282" t="s">
        <v>13</v>
      </c>
      <c r="D282">
        <f>VLOOKUP(C282,customers[],3,0)</f>
        <v>37</v>
      </c>
      <c r="E282" t="str">
        <f>VLOOKUP(C282,customers[],2,0)</f>
        <v>Female</v>
      </c>
      <c r="F282" t="str">
        <f>VLOOKUP(C282,customers[],4,0)</f>
        <v>Cleveland</v>
      </c>
      <c r="G282">
        <v>118</v>
      </c>
      <c r="H282" s="17" t="s">
        <v>12</v>
      </c>
      <c r="I282" s="18">
        <v>45011</v>
      </c>
      <c r="J282">
        <v>99</v>
      </c>
      <c r="K282">
        <v>5</v>
      </c>
      <c r="L282">
        <f>IF(MONTH(calls[[#This Row],[Date of Call]])&lt;=6, YEAR(calls[[#This Row],[Date of Call]]), YEAR(calls[[#This Row],[Date of Call]])+1)</f>
        <v>2023</v>
      </c>
      <c r="M282" t="str">
        <f>TEXT(calls[[#This Row],[Date of Call]],"DDDD")</f>
        <v>الأحد</v>
      </c>
      <c r="N282" t="str" cm="1">
        <f t="array" ref="N282">_xlfn.IFS(calls[[#This Row],[Duration]]&lt;=10,"Under 10 mins", calls[[#This Row],[Duration]]&lt;=30, "10 to 30 mins", calls[[#This Row],[Duration]]&lt;=60, "30 to 60 mins", calls[[#This Row],[Duration]]&lt;=120, "1 to 2 hours", TRUE, "More than 2 hours")</f>
        <v>1 to 2 hours</v>
      </c>
      <c r="O282">
        <f>ROUND(calls[[#This Row],[Satisfaction Rating]],0)</f>
        <v>5</v>
      </c>
    </row>
    <row r="283" spans="2:15" x14ac:dyDescent="0.25">
      <c r="B283" t="s">
        <v>304</v>
      </c>
      <c r="C283" t="s">
        <v>18</v>
      </c>
      <c r="D283">
        <f>VLOOKUP(C283,customers[],3,0)</f>
        <v>43</v>
      </c>
      <c r="E283" t="str">
        <f>VLOOKUP(C283,customers[],2,0)</f>
        <v>Female</v>
      </c>
      <c r="F283" t="str">
        <f>VLOOKUP(C283,customers[],4,0)</f>
        <v>Cleveland</v>
      </c>
      <c r="G283">
        <v>75</v>
      </c>
      <c r="H283" s="17" t="s">
        <v>8</v>
      </c>
      <c r="I283" s="18">
        <v>45011</v>
      </c>
      <c r="J283">
        <v>135</v>
      </c>
      <c r="K283">
        <v>4.7</v>
      </c>
      <c r="L283">
        <f>IF(MONTH(calls[[#This Row],[Date of Call]])&lt;=6, YEAR(calls[[#This Row],[Date of Call]]), YEAR(calls[[#This Row],[Date of Call]])+1)</f>
        <v>2023</v>
      </c>
      <c r="M283" t="str">
        <f>TEXT(calls[[#This Row],[Date of Call]],"DDDD")</f>
        <v>الأحد</v>
      </c>
      <c r="N283" t="str" cm="1">
        <f t="array" ref="N283">_xlfn.IFS(calls[[#This Row],[Duration]]&lt;=10,"Under 10 mins", calls[[#This Row],[Duration]]&lt;=30, "10 to 30 mins", calls[[#This Row],[Duration]]&lt;=60, "30 to 60 mins", calls[[#This Row],[Duration]]&lt;=120, "1 to 2 hours", TRUE, "More than 2 hours")</f>
        <v>1 to 2 hours</v>
      </c>
      <c r="O283">
        <f>ROUND(calls[[#This Row],[Satisfaction Rating]],0)</f>
        <v>5</v>
      </c>
    </row>
    <row r="284" spans="2:15" x14ac:dyDescent="0.25">
      <c r="B284" t="s">
        <v>305</v>
      </c>
      <c r="C284" t="s">
        <v>11</v>
      </c>
      <c r="D284">
        <f>VLOOKUP(C284,customers[],3,0)</f>
        <v>36</v>
      </c>
      <c r="E284" t="str">
        <f>VLOOKUP(C284,customers[],2,0)</f>
        <v>Male</v>
      </c>
      <c r="F284" t="str">
        <f>VLOOKUP(C284,customers[],4,0)</f>
        <v>Cincinnati</v>
      </c>
      <c r="G284">
        <v>103</v>
      </c>
      <c r="H284" s="17" t="s">
        <v>9</v>
      </c>
      <c r="I284" s="18">
        <v>45011</v>
      </c>
      <c r="J284">
        <v>42</v>
      </c>
      <c r="K284">
        <v>2.8</v>
      </c>
      <c r="L284">
        <f>IF(MONTH(calls[[#This Row],[Date of Call]])&lt;=6, YEAR(calls[[#This Row],[Date of Call]]), YEAR(calls[[#This Row],[Date of Call]])+1)</f>
        <v>2023</v>
      </c>
      <c r="M284" t="str">
        <f>TEXT(calls[[#This Row],[Date of Call]],"DDDD")</f>
        <v>الأحد</v>
      </c>
      <c r="N284" t="str" cm="1">
        <f t="array" ref="N284">_xlfn.IFS(calls[[#This Row],[Duration]]&lt;=10,"Under 10 mins", calls[[#This Row],[Duration]]&lt;=30, "10 to 30 mins", calls[[#This Row],[Duration]]&lt;=60, "30 to 60 mins", calls[[#This Row],[Duration]]&lt;=120, "1 to 2 hours", TRUE, "More than 2 hours")</f>
        <v>1 to 2 hours</v>
      </c>
      <c r="O284">
        <f>ROUND(calls[[#This Row],[Satisfaction Rating]],0)</f>
        <v>3</v>
      </c>
    </row>
    <row r="285" spans="2:15" x14ac:dyDescent="0.25">
      <c r="B285" t="s">
        <v>306</v>
      </c>
      <c r="C285" t="s">
        <v>6</v>
      </c>
      <c r="D285">
        <f>VLOOKUP(C285,customers[],3,0)</f>
        <v>23</v>
      </c>
      <c r="E285" t="str">
        <f>VLOOKUP(C285,customers[],2,0)</f>
        <v>Male</v>
      </c>
      <c r="F285" t="str">
        <f>VLOOKUP(C285,customers[],4,0)</f>
        <v>Columbus</v>
      </c>
      <c r="G285">
        <v>116</v>
      </c>
      <c r="H285" s="17" t="s">
        <v>12</v>
      </c>
      <c r="I285" s="18">
        <v>45012</v>
      </c>
      <c r="J285">
        <v>63</v>
      </c>
      <c r="K285">
        <v>3.4</v>
      </c>
      <c r="L285">
        <f>IF(MONTH(calls[[#This Row],[Date of Call]])&lt;=6, YEAR(calls[[#This Row],[Date of Call]]), YEAR(calls[[#This Row],[Date of Call]])+1)</f>
        <v>2023</v>
      </c>
      <c r="M285" t="str">
        <f>TEXT(calls[[#This Row],[Date of Call]],"DDDD")</f>
        <v>الإثنين</v>
      </c>
      <c r="N285" t="str" cm="1">
        <f t="array" ref="N285">_xlfn.IFS(calls[[#This Row],[Duration]]&lt;=10,"Under 10 mins", calls[[#This Row],[Duration]]&lt;=30, "10 to 30 mins", calls[[#This Row],[Duration]]&lt;=60, "30 to 60 mins", calls[[#This Row],[Duration]]&lt;=120, "1 to 2 hours", TRUE, "More than 2 hours")</f>
        <v>1 to 2 hours</v>
      </c>
      <c r="O285">
        <f>ROUND(calls[[#This Row],[Satisfaction Rating]],0)</f>
        <v>3</v>
      </c>
    </row>
    <row r="286" spans="2:15" x14ac:dyDescent="0.25">
      <c r="B286" t="s">
        <v>307</v>
      </c>
      <c r="C286" t="s">
        <v>14</v>
      </c>
      <c r="D286">
        <f>VLOOKUP(C286,customers[],3,0)</f>
        <v>22</v>
      </c>
      <c r="E286" t="str">
        <f>VLOOKUP(C286,customers[],2,0)</f>
        <v>Female</v>
      </c>
      <c r="F286" t="str">
        <f>VLOOKUP(C286,customers[],4,0)</f>
        <v>Cleveland</v>
      </c>
      <c r="G286">
        <v>61</v>
      </c>
      <c r="H286" s="17" t="s">
        <v>10</v>
      </c>
      <c r="I286" s="18">
        <v>45012</v>
      </c>
      <c r="J286">
        <v>140</v>
      </c>
      <c r="K286">
        <v>1.8</v>
      </c>
      <c r="L286">
        <f>IF(MONTH(calls[[#This Row],[Date of Call]])&lt;=6, YEAR(calls[[#This Row],[Date of Call]]), YEAR(calls[[#This Row],[Date of Call]])+1)</f>
        <v>2023</v>
      </c>
      <c r="M286" t="str">
        <f>TEXT(calls[[#This Row],[Date of Call]],"DDDD")</f>
        <v>الإثنين</v>
      </c>
      <c r="N286" t="str" cm="1">
        <f t="array" ref="N286">_xlfn.IFS(calls[[#This Row],[Duration]]&lt;=10,"Under 10 mins", calls[[#This Row],[Duration]]&lt;=30, "10 to 30 mins", calls[[#This Row],[Duration]]&lt;=60, "30 to 60 mins", calls[[#This Row],[Duration]]&lt;=120, "1 to 2 hours", TRUE, "More than 2 hours")</f>
        <v>1 to 2 hours</v>
      </c>
      <c r="O286">
        <f>ROUND(calls[[#This Row],[Satisfaction Rating]],0)</f>
        <v>2</v>
      </c>
    </row>
    <row r="287" spans="2:15" x14ac:dyDescent="0.25">
      <c r="B287" t="s">
        <v>308</v>
      </c>
      <c r="C287" t="s">
        <v>15</v>
      </c>
      <c r="D287">
        <f>VLOOKUP(C287,customers[],3,0)</f>
        <v>28</v>
      </c>
      <c r="E287" t="str">
        <f>VLOOKUP(C287,customers[],2,0)</f>
        <v>Female</v>
      </c>
      <c r="F287" t="str">
        <f>VLOOKUP(C287,customers[],4,0)</f>
        <v>Cincinnati</v>
      </c>
      <c r="G287">
        <v>126</v>
      </c>
      <c r="H287" s="17" t="s">
        <v>8</v>
      </c>
      <c r="I287" s="18">
        <v>45012</v>
      </c>
      <c r="J287">
        <v>128</v>
      </c>
      <c r="K287">
        <v>4.2</v>
      </c>
      <c r="L287">
        <f>IF(MONTH(calls[[#This Row],[Date of Call]])&lt;=6, YEAR(calls[[#This Row],[Date of Call]]), YEAR(calls[[#This Row],[Date of Call]])+1)</f>
        <v>2023</v>
      </c>
      <c r="M287" t="str">
        <f>TEXT(calls[[#This Row],[Date of Call]],"DDDD")</f>
        <v>الإثنين</v>
      </c>
      <c r="N287" t="str" cm="1">
        <f t="array" ref="N287">_xlfn.IFS(calls[[#This Row],[Duration]]&lt;=10,"Under 10 mins", calls[[#This Row],[Duration]]&lt;=30, "10 to 30 mins", calls[[#This Row],[Duration]]&lt;=60, "30 to 60 mins", calls[[#This Row],[Duration]]&lt;=120, "1 to 2 hours", TRUE, "More than 2 hours")</f>
        <v>More than 2 hours</v>
      </c>
      <c r="O287">
        <f>ROUND(calls[[#This Row],[Satisfaction Rating]],0)</f>
        <v>4</v>
      </c>
    </row>
    <row r="288" spans="2:15" x14ac:dyDescent="0.25">
      <c r="B288" t="s">
        <v>309</v>
      </c>
      <c r="C288" t="s">
        <v>23</v>
      </c>
      <c r="D288">
        <f>VLOOKUP(C288,customers[],3,0)</f>
        <v>31</v>
      </c>
      <c r="E288" t="str">
        <f>VLOOKUP(C288,customers[],2,0)</f>
        <v>Male</v>
      </c>
      <c r="F288" t="str">
        <f>VLOOKUP(C288,customers[],4,0)</f>
        <v>Cleveland</v>
      </c>
      <c r="G288">
        <v>141</v>
      </c>
      <c r="H288" s="17" t="s">
        <v>5</v>
      </c>
      <c r="I288" s="18">
        <v>45012</v>
      </c>
      <c r="J288">
        <v>80</v>
      </c>
      <c r="K288">
        <v>4.4000000000000004</v>
      </c>
      <c r="L288">
        <f>IF(MONTH(calls[[#This Row],[Date of Call]])&lt;=6, YEAR(calls[[#This Row],[Date of Call]]), YEAR(calls[[#This Row],[Date of Call]])+1)</f>
        <v>2023</v>
      </c>
      <c r="M288" t="str">
        <f>TEXT(calls[[#This Row],[Date of Call]],"DDDD")</f>
        <v>الإثنين</v>
      </c>
      <c r="N288" t="str" cm="1">
        <f t="array" ref="N288">_xlfn.IFS(calls[[#This Row],[Duration]]&lt;=10,"Under 10 mins", calls[[#This Row],[Duration]]&lt;=30, "10 to 30 mins", calls[[#This Row],[Duration]]&lt;=60, "30 to 60 mins", calls[[#This Row],[Duration]]&lt;=120, "1 to 2 hours", TRUE, "More than 2 hours")</f>
        <v>More than 2 hours</v>
      </c>
      <c r="O288">
        <f>ROUND(calls[[#This Row],[Satisfaction Rating]],0)</f>
        <v>4</v>
      </c>
    </row>
    <row r="289" spans="2:15" x14ac:dyDescent="0.25">
      <c r="B289" t="s">
        <v>310</v>
      </c>
      <c r="C289" t="s">
        <v>7</v>
      </c>
      <c r="D289">
        <f>VLOOKUP(C289,customers[],3,0)</f>
        <v>30</v>
      </c>
      <c r="E289" t="str">
        <f>VLOOKUP(C289,customers[],2,0)</f>
        <v>Female</v>
      </c>
      <c r="F289" t="str">
        <f>VLOOKUP(C289,customers[],4,0)</f>
        <v>Cincinnati</v>
      </c>
      <c r="G289">
        <v>95</v>
      </c>
      <c r="H289" s="17" t="s">
        <v>12</v>
      </c>
      <c r="I289" s="18">
        <v>45012</v>
      </c>
      <c r="J289">
        <v>28</v>
      </c>
      <c r="K289">
        <v>2.7</v>
      </c>
      <c r="L289">
        <f>IF(MONTH(calls[[#This Row],[Date of Call]])&lt;=6, YEAR(calls[[#This Row],[Date of Call]]), YEAR(calls[[#This Row],[Date of Call]])+1)</f>
        <v>2023</v>
      </c>
      <c r="M289" t="str">
        <f>TEXT(calls[[#This Row],[Date of Call]],"DDDD")</f>
        <v>الإثنين</v>
      </c>
      <c r="N289" t="str" cm="1">
        <f t="array" ref="N289">_xlfn.IFS(calls[[#This Row],[Duration]]&lt;=10,"Under 10 mins", calls[[#This Row],[Duration]]&lt;=30, "10 to 30 mins", calls[[#This Row],[Duration]]&lt;=60, "30 to 60 mins", calls[[#This Row],[Duration]]&lt;=120, "1 to 2 hours", TRUE, "More than 2 hours")</f>
        <v>1 to 2 hours</v>
      </c>
      <c r="O289">
        <f>ROUND(calls[[#This Row],[Satisfaction Rating]],0)</f>
        <v>3</v>
      </c>
    </row>
    <row r="290" spans="2:15" x14ac:dyDescent="0.25">
      <c r="B290" t="s">
        <v>311</v>
      </c>
      <c r="C290" t="s">
        <v>18</v>
      </c>
      <c r="D290">
        <f>VLOOKUP(C290,customers[],3,0)</f>
        <v>43</v>
      </c>
      <c r="E290" t="str">
        <f>VLOOKUP(C290,customers[],2,0)</f>
        <v>Female</v>
      </c>
      <c r="F290" t="str">
        <f>VLOOKUP(C290,customers[],4,0)</f>
        <v>Cleveland</v>
      </c>
      <c r="G290">
        <v>39</v>
      </c>
      <c r="H290" s="17" t="s">
        <v>10</v>
      </c>
      <c r="I290" s="18">
        <v>45013</v>
      </c>
      <c r="J290">
        <v>81</v>
      </c>
      <c r="K290">
        <v>5</v>
      </c>
      <c r="L290">
        <f>IF(MONTH(calls[[#This Row],[Date of Call]])&lt;=6, YEAR(calls[[#This Row],[Date of Call]]), YEAR(calls[[#This Row],[Date of Call]])+1)</f>
        <v>2023</v>
      </c>
      <c r="M290" t="str">
        <f>TEXT(calls[[#This Row],[Date of Call]],"DDDD")</f>
        <v>الثلاثاء</v>
      </c>
      <c r="N290" t="str" cm="1">
        <f t="array" ref="N290">_xlfn.IFS(calls[[#This Row],[Duration]]&lt;=10,"Under 10 mins", calls[[#This Row],[Duration]]&lt;=30, "10 to 30 mins", calls[[#This Row],[Duration]]&lt;=60, "30 to 60 mins", calls[[#This Row],[Duration]]&lt;=120, "1 to 2 hours", TRUE, "More than 2 hours")</f>
        <v>30 to 60 mins</v>
      </c>
      <c r="O290">
        <f>ROUND(calls[[#This Row],[Satisfaction Rating]],0)</f>
        <v>5</v>
      </c>
    </row>
    <row r="291" spans="2:15" x14ac:dyDescent="0.25">
      <c r="B291" t="s">
        <v>312</v>
      </c>
      <c r="C291" t="s">
        <v>11</v>
      </c>
      <c r="D291">
        <f>VLOOKUP(C291,customers[],3,0)</f>
        <v>36</v>
      </c>
      <c r="E291" t="str">
        <f>VLOOKUP(C291,customers[],2,0)</f>
        <v>Male</v>
      </c>
      <c r="F291" t="str">
        <f>VLOOKUP(C291,customers[],4,0)</f>
        <v>Cincinnati</v>
      </c>
      <c r="G291">
        <v>127</v>
      </c>
      <c r="H291" s="17" t="s">
        <v>8</v>
      </c>
      <c r="I291" s="18">
        <v>45013</v>
      </c>
      <c r="J291">
        <v>99</v>
      </c>
      <c r="K291">
        <v>3.9</v>
      </c>
      <c r="L291">
        <f>IF(MONTH(calls[[#This Row],[Date of Call]])&lt;=6, YEAR(calls[[#This Row],[Date of Call]]), YEAR(calls[[#This Row],[Date of Call]])+1)</f>
        <v>2023</v>
      </c>
      <c r="M291" t="str">
        <f>TEXT(calls[[#This Row],[Date of Call]],"DDDD")</f>
        <v>الثلاثاء</v>
      </c>
      <c r="N291" t="str" cm="1">
        <f t="array" ref="N291">_xlfn.IFS(calls[[#This Row],[Duration]]&lt;=10,"Under 10 mins", calls[[#This Row],[Duration]]&lt;=30, "10 to 30 mins", calls[[#This Row],[Duration]]&lt;=60, "30 to 60 mins", calls[[#This Row],[Duration]]&lt;=120, "1 to 2 hours", TRUE, "More than 2 hours")</f>
        <v>More than 2 hours</v>
      </c>
      <c r="O291">
        <f>ROUND(calls[[#This Row],[Satisfaction Rating]],0)</f>
        <v>4</v>
      </c>
    </row>
    <row r="292" spans="2:15" x14ac:dyDescent="0.25">
      <c r="B292" t="s">
        <v>313</v>
      </c>
      <c r="C292" t="s">
        <v>14</v>
      </c>
      <c r="D292">
        <f>VLOOKUP(C292,customers[],3,0)</f>
        <v>22</v>
      </c>
      <c r="E292" t="str">
        <f>VLOOKUP(C292,customers[],2,0)</f>
        <v>Female</v>
      </c>
      <c r="F292" t="str">
        <f>VLOOKUP(C292,customers[],4,0)</f>
        <v>Cleveland</v>
      </c>
      <c r="G292">
        <v>78</v>
      </c>
      <c r="H292" s="17" t="s">
        <v>8</v>
      </c>
      <c r="I292" s="18">
        <v>45013</v>
      </c>
      <c r="J292">
        <v>43</v>
      </c>
      <c r="K292">
        <v>3.8</v>
      </c>
      <c r="L292">
        <f>IF(MONTH(calls[[#This Row],[Date of Call]])&lt;=6, YEAR(calls[[#This Row],[Date of Call]]), YEAR(calls[[#This Row],[Date of Call]])+1)</f>
        <v>2023</v>
      </c>
      <c r="M292" t="str">
        <f>TEXT(calls[[#This Row],[Date of Call]],"DDDD")</f>
        <v>الثلاثاء</v>
      </c>
      <c r="N292" t="str" cm="1">
        <f t="array" ref="N292">_xlfn.IFS(calls[[#This Row],[Duration]]&lt;=10,"Under 10 mins", calls[[#This Row],[Duration]]&lt;=30, "10 to 30 mins", calls[[#This Row],[Duration]]&lt;=60, "30 to 60 mins", calls[[#This Row],[Duration]]&lt;=120, "1 to 2 hours", TRUE, "More than 2 hours")</f>
        <v>1 to 2 hours</v>
      </c>
      <c r="O292">
        <f>ROUND(calls[[#This Row],[Satisfaction Rating]],0)</f>
        <v>4</v>
      </c>
    </row>
    <row r="293" spans="2:15" x14ac:dyDescent="0.25">
      <c r="B293" t="s">
        <v>314</v>
      </c>
      <c r="C293" t="s">
        <v>13</v>
      </c>
      <c r="D293">
        <f>VLOOKUP(C293,customers[],3,0)</f>
        <v>37</v>
      </c>
      <c r="E293" t="str">
        <f>VLOOKUP(C293,customers[],2,0)</f>
        <v>Female</v>
      </c>
      <c r="F293" t="str">
        <f>VLOOKUP(C293,customers[],4,0)</f>
        <v>Cleveland</v>
      </c>
      <c r="G293">
        <v>40</v>
      </c>
      <c r="H293" s="17" t="s">
        <v>8</v>
      </c>
      <c r="I293" s="18">
        <v>45013</v>
      </c>
      <c r="J293">
        <v>34</v>
      </c>
      <c r="K293">
        <v>4.5999999999999996</v>
      </c>
      <c r="L293">
        <f>IF(MONTH(calls[[#This Row],[Date of Call]])&lt;=6, YEAR(calls[[#This Row],[Date of Call]]), YEAR(calls[[#This Row],[Date of Call]])+1)</f>
        <v>2023</v>
      </c>
      <c r="M293" t="str">
        <f>TEXT(calls[[#This Row],[Date of Call]],"DDDD")</f>
        <v>الثلاثاء</v>
      </c>
      <c r="N293" t="str" cm="1">
        <f t="array" ref="N293">_xlfn.IFS(calls[[#This Row],[Duration]]&lt;=10,"Under 10 mins", calls[[#This Row],[Duration]]&lt;=30, "10 to 30 mins", calls[[#This Row],[Duration]]&lt;=60, "30 to 60 mins", calls[[#This Row],[Duration]]&lt;=120, "1 to 2 hours", TRUE, "More than 2 hours")</f>
        <v>30 to 60 mins</v>
      </c>
      <c r="O293">
        <f>ROUND(calls[[#This Row],[Satisfaction Rating]],0)</f>
        <v>5</v>
      </c>
    </row>
    <row r="294" spans="2:15" x14ac:dyDescent="0.25">
      <c r="B294" t="s">
        <v>315</v>
      </c>
      <c r="C294" t="s">
        <v>14</v>
      </c>
      <c r="D294">
        <f>VLOOKUP(C294,customers[],3,0)</f>
        <v>22</v>
      </c>
      <c r="E294" t="str">
        <f>VLOOKUP(C294,customers[],2,0)</f>
        <v>Female</v>
      </c>
      <c r="F294" t="str">
        <f>VLOOKUP(C294,customers[],4,0)</f>
        <v>Cleveland</v>
      </c>
      <c r="G294">
        <v>56</v>
      </c>
      <c r="H294" s="17" t="s">
        <v>10</v>
      </c>
      <c r="I294" s="18">
        <v>45013</v>
      </c>
      <c r="J294">
        <v>225</v>
      </c>
      <c r="K294">
        <v>4.5999999999999996</v>
      </c>
      <c r="L294">
        <f>IF(MONTH(calls[[#This Row],[Date of Call]])&lt;=6, YEAR(calls[[#This Row],[Date of Call]]), YEAR(calls[[#This Row],[Date of Call]])+1)</f>
        <v>2023</v>
      </c>
      <c r="M294" t="str">
        <f>TEXT(calls[[#This Row],[Date of Call]],"DDDD")</f>
        <v>الثلاثاء</v>
      </c>
      <c r="N294" t="str" cm="1">
        <f t="array" ref="N294">_xlfn.IFS(calls[[#This Row],[Duration]]&lt;=10,"Under 10 mins", calls[[#This Row],[Duration]]&lt;=30, "10 to 30 mins", calls[[#This Row],[Duration]]&lt;=60, "30 to 60 mins", calls[[#This Row],[Duration]]&lt;=120, "1 to 2 hours", TRUE, "More than 2 hours")</f>
        <v>30 to 60 mins</v>
      </c>
      <c r="O294">
        <f>ROUND(calls[[#This Row],[Satisfaction Rating]],0)</f>
        <v>5</v>
      </c>
    </row>
    <row r="295" spans="2:15" x14ac:dyDescent="0.25">
      <c r="B295" t="s">
        <v>316</v>
      </c>
      <c r="C295" t="s">
        <v>18</v>
      </c>
      <c r="D295">
        <f>VLOOKUP(C295,customers[],3,0)</f>
        <v>43</v>
      </c>
      <c r="E295" t="str">
        <f>VLOOKUP(C295,customers[],2,0)</f>
        <v>Female</v>
      </c>
      <c r="F295" t="str">
        <f>VLOOKUP(C295,customers[],4,0)</f>
        <v>Cleveland</v>
      </c>
      <c r="G295">
        <v>59</v>
      </c>
      <c r="H295" s="17" t="s">
        <v>5</v>
      </c>
      <c r="I295" s="18">
        <v>45013</v>
      </c>
      <c r="J295">
        <v>210</v>
      </c>
      <c r="K295">
        <v>4.5</v>
      </c>
      <c r="L295">
        <f>IF(MONTH(calls[[#This Row],[Date of Call]])&lt;=6, YEAR(calls[[#This Row],[Date of Call]]), YEAR(calls[[#This Row],[Date of Call]])+1)</f>
        <v>2023</v>
      </c>
      <c r="M295" t="str">
        <f>TEXT(calls[[#This Row],[Date of Call]],"DDDD")</f>
        <v>الثلاثاء</v>
      </c>
      <c r="N295" t="str" cm="1">
        <f t="array" ref="N295">_xlfn.IFS(calls[[#This Row],[Duration]]&lt;=10,"Under 10 mins", calls[[#This Row],[Duration]]&lt;=30, "10 to 30 mins", calls[[#This Row],[Duration]]&lt;=60, "30 to 60 mins", calls[[#This Row],[Duration]]&lt;=120, "1 to 2 hours", TRUE, "More than 2 hours")</f>
        <v>30 to 60 mins</v>
      </c>
      <c r="O295">
        <f>ROUND(calls[[#This Row],[Satisfaction Rating]],0)</f>
        <v>5</v>
      </c>
    </row>
    <row r="296" spans="2:15" x14ac:dyDescent="0.25">
      <c r="B296" t="s">
        <v>317</v>
      </c>
      <c r="C296" t="s">
        <v>15</v>
      </c>
      <c r="D296">
        <f>VLOOKUP(C296,customers[],3,0)</f>
        <v>28</v>
      </c>
      <c r="E296" t="str">
        <f>VLOOKUP(C296,customers[],2,0)</f>
        <v>Female</v>
      </c>
      <c r="F296" t="str">
        <f>VLOOKUP(C296,customers[],4,0)</f>
        <v>Cincinnati</v>
      </c>
      <c r="G296">
        <v>30</v>
      </c>
      <c r="H296" s="17" t="s">
        <v>8</v>
      </c>
      <c r="I296" s="18">
        <v>45013</v>
      </c>
      <c r="J296">
        <v>168</v>
      </c>
      <c r="K296">
        <v>4.2</v>
      </c>
      <c r="L296">
        <f>IF(MONTH(calls[[#This Row],[Date of Call]])&lt;=6, YEAR(calls[[#This Row],[Date of Call]]), YEAR(calls[[#This Row],[Date of Call]])+1)</f>
        <v>2023</v>
      </c>
      <c r="M296" t="str">
        <f>TEXT(calls[[#This Row],[Date of Call]],"DDDD")</f>
        <v>الثلاثاء</v>
      </c>
      <c r="N296" t="str" cm="1">
        <f t="array" ref="N296">_xlfn.IFS(calls[[#This Row],[Duration]]&lt;=10,"Under 10 mins", calls[[#This Row],[Duration]]&lt;=30, "10 to 30 mins", calls[[#This Row],[Duration]]&lt;=60, "30 to 60 mins", calls[[#This Row],[Duration]]&lt;=120, "1 to 2 hours", TRUE, "More than 2 hours")</f>
        <v>10 to 30 mins</v>
      </c>
      <c r="O296">
        <f>ROUND(calls[[#This Row],[Satisfaction Rating]],0)</f>
        <v>4</v>
      </c>
    </row>
    <row r="297" spans="2:15" x14ac:dyDescent="0.25">
      <c r="B297" t="s">
        <v>318</v>
      </c>
      <c r="C297" t="s">
        <v>13</v>
      </c>
      <c r="D297">
        <f>VLOOKUP(C297,customers[],3,0)</f>
        <v>37</v>
      </c>
      <c r="E297" t="str">
        <f>VLOOKUP(C297,customers[],2,0)</f>
        <v>Female</v>
      </c>
      <c r="F297" t="str">
        <f>VLOOKUP(C297,customers[],4,0)</f>
        <v>Cleveland</v>
      </c>
      <c r="G297">
        <v>63</v>
      </c>
      <c r="H297" s="17" t="s">
        <v>9</v>
      </c>
      <c r="I297" s="18">
        <v>45014</v>
      </c>
      <c r="J297">
        <v>82</v>
      </c>
      <c r="K297">
        <v>4.5</v>
      </c>
      <c r="L297">
        <f>IF(MONTH(calls[[#This Row],[Date of Call]])&lt;=6, YEAR(calls[[#This Row],[Date of Call]]), YEAR(calls[[#This Row],[Date of Call]])+1)</f>
        <v>2023</v>
      </c>
      <c r="M297" t="str">
        <f>TEXT(calls[[#This Row],[Date of Call]],"DDDD")</f>
        <v>الأربعاء</v>
      </c>
      <c r="N297" t="str" cm="1">
        <f t="array" ref="N297">_xlfn.IFS(calls[[#This Row],[Duration]]&lt;=10,"Under 10 mins", calls[[#This Row],[Duration]]&lt;=30, "10 to 30 mins", calls[[#This Row],[Duration]]&lt;=60, "30 to 60 mins", calls[[#This Row],[Duration]]&lt;=120, "1 to 2 hours", TRUE, "More than 2 hours")</f>
        <v>1 to 2 hours</v>
      </c>
      <c r="O297">
        <f>ROUND(calls[[#This Row],[Satisfaction Rating]],0)</f>
        <v>5</v>
      </c>
    </row>
    <row r="298" spans="2:15" x14ac:dyDescent="0.25">
      <c r="B298" t="s">
        <v>319</v>
      </c>
      <c r="C298" t="s">
        <v>22</v>
      </c>
      <c r="D298">
        <f>VLOOKUP(C298,customers[],3,0)</f>
        <v>37</v>
      </c>
      <c r="E298" t="str">
        <f>VLOOKUP(C298,customers[],2,0)</f>
        <v>Male</v>
      </c>
      <c r="F298" t="str">
        <f>VLOOKUP(C298,customers[],4,0)</f>
        <v>Columbus</v>
      </c>
      <c r="G298">
        <v>56</v>
      </c>
      <c r="H298" s="17" t="s">
        <v>12</v>
      </c>
      <c r="I298" s="18">
        <v>45014</v>
      </c>
      <c r="J298">
        <v>88</v>
      </c>
      <c r="K298">
        <v>4.0999999999999996</v>
      </c>
      <c r="L298">
        <f>IF(MONTH(calls[[#This Row],[Date of Call]])&lt;=6, YEAR(calls[[#This Row],[Date of Call]]), YEAR(calls[[#This Row],[Date of Call]])+1)</f>
        <v>2023</v>
      </c>
      <c r="M298" t="str">
        <f>TEXT(calls[[#This Row],[Date of Call]],"DDDD")</f>
        <v>الأربعاء</v>
      </c>
      <c r="N298" t="str" cm="1">
        <f t="array" ref="N298">_xlfn.IFS(calls[[#This Row],[Duration]]&lt;=10,"Under 10 mins", calls[[#This Row],[Duration]]&lt;=30, "10 to 30 mins", calls[[#This Row],[Duration]]&lt;=60, "30 to 60 mins", calls[[#This Row],[Duration]]&lt;=120, "1 to 2 hours", TRUE, "More than 2 hours")</f>
        <v>30 to 60 mins</v>
      </c>
      <c r="O298">
        <f>ROUND(calls[[#This Row],[Satisfaction Rating]],0)</f>
        <v>4</v>
      </c>
    </row>
    <row r="299" spans="2:15" x14ac:dyDescent="0.25">
      <c r="B299" t="s">
        <v>320</v>
      </c>
      <c r="C299" t="s">
        <v>4</v>
      </c>
      <c r="D299">
        <f>VLOOKUP(C299,customers[],3,0)</f>
        <v>42</v>
      </c>
      <c r="E299" t="str">
        <f>VLOOKUP(C299,customers[],2,0)</f>
        <v>Female</v>
      </c>
      <c r="F299" t="str">
        <f>VLOOKUP(C299,customers[],4,0)</f>
        <v>Cleveland</v>
      </c>
      <c r="G299">
        <v>95</v>
      </c>
      <c r="H299" s="17" t="s">
        <v>9</v>
      </c>
      <c r="I299" s="18">
        <v>45014</v>
      </c>
      <c r="J299">
        <v>111</v>
      </c>
      <c r="K299">
        <v>3.3</v>
      </c>
      <c r="L299">
        <f>IF(MONTH(calls[[#This Row],[Date of Call]])&lt;=6, YEAR(calls[[#This Row],[Date of Call]]), YEAR(calls[[#This Row],[Date of Call]])+1)</f>
        <v>2023</v>
      </c>
      <c r="M299" t="str">
        <f>TEXT(calls[[#This Row],[Date of Call]],"DDDD")</f>
        <v>الأربعاء</v>
      </c>
      <c r="N299" t="str" cm="1">
        <f t="array" ref="N299">_xlfn.IFS(calls[[#This Row],[Duration]]&lt;=10,"Under 10 mins", calls[[#This Row],[Duration]]&lt;=30, "10 to 30 mins", calls[[#This Row],[Duration]]&lt;=60, "30 to 60 mins", calls[[#This Row],[Duration]]&lt;=120, "1 to 2 hours", TRUE, "More than 2 hours")</f>
        <v>1 to 2 hours</v>
      </c>
      <c r="O299">
        <f>ROUND(calls[[#This Row],[Satisfaction Rating]],0)</f>
        <v>3</v>
      </c>
    </row>
    <row r="300" spans="2:15" x14ac:dyDescent="0.25">
      <c r="B300" t="s">
        <v>321</v>
      </c>
      <c r="C300" t="s">
        <v>16</v>
      </c>
      <c r="D300">
        <f>VLOOKUP(C300,customers[],3,0)</f>
        <v>41</v>
      </c>
      <c r="E300" t="str">
        <f>VLOOKUP(C300,customers[],2,0)</f>
        <v>Male</v>
      </c>
      <c r="F300" t="str">
        <f>VLOOKUP(C300,customers[],4,0)</f>
        <v>Columbus</v>
      </c>
      <c r="G300">
        <v>128</v>
      </c>
      <c r="H300" s="17" t="s">
        <v>5</v>
      </c>
      <c r="I300" s="18">
        <v>45014</v>
      </c>
      <c r="J300">
        <v>60</v>
      </c>
      <c r="K300">
        <v>3.8</v>
      </c>
      <c r="L300">
        <f>IF(MONTH(calls[[#This Row],[Date of Call]])&lt;=6, YEAR(calls[[#This Row],[Date of Call]]), YEAR(calls[[#This Row],[Date of Call]])+1)</f>
        <v>2023</v>
      </c>
      <c r="M300" t="str">
        <f>TEXT(calls[[#This Row],[Date of Call]],"DDDD")</f>
        <v>الأربعاء</v>
      </c>
      <c r="N300" t="str" cm="1">
        <f t="array" ref="N300">_xlfn.IFS(calls[[#This Row],[Duration]]&lt;=10,"Under 10 mins", calls[[#This Row],[Duration]]&lt;=30, "10 to 30 mins", calls[[#This Row],[Duration]]&lt;=60, "30 to 60 mins", calls[[#This Row],[Duration]]&lt;=120, "1 to 2 hours", TRUE, "More than 2 hours")</f>
        <v>More than 2 hours</v>
      </c>
      <c r="O300">
        <f>ROUND(calls[[#This Row],[Satisfaction Rating]],0)</f>
        <v>4</v>
      </c>
    </row>
    <row r="301" spans="2:15" x14ac:dyDescent="0.25">
      <c r="B301" t="s">
        <v>322</v>
      </c>
      <c r="C301" t="s">
        <v>7</v>
      </c>
      <c r="D301">
        <f>VLOOKUP(C301,customers[],3,0)</f>
        <v>30</v>
      </c>
      <c r="E301" t="str">
        <f>VLOOKUP(C301,customers[],2,0)</f>
        <v>Female</v>
      </c>
      <c r="F301" t="str">
        <f>VLOOKUP(C301,customers[],4,0)</f>
        <v>Cincinnati</v>
      </c>
      <c r="G301">
        <v>49</v>
      </c>
      <c r="H301" s="17" t="s">
        <v>9</v>
      </c>
      <c r="I301" s="18">
        <v>45014</v>
      </c>
      <c r="J301">
        <v>80</v>
      </c>
      <c r="K301">
        <v>3</v>
      </c>
      <c r="L301">
        <f>IF(MONTH(calls[[#This Row],[Date of Call]])&lt;=6, YEAR(calls[[#This Row],[Date of Call]]), YEAR(calls[[#This Row],[Date of Call]])+1)</f>
        <v>2023</v>
      </c>
      <c r="M301" t="str">
        <f>TEXT(calls[[#This Row],[Date of Call]],"DDDD")</f>
        <v>الأربعاء</v>
      </c>
      <c r="N301" t="str" cm="1">
        <f t="array" ref="N301">_xlfn.IFS(calls[[#This Row],[Duration]]&lt;=10,"Under 10 mins", calls[[#This Row],[Duration]]&lt;=30, "10 to 30 mins", calls[[#This Row],[Duration]]&lt;=60, "30 to 60 mins", calls[[#This Row],[Duration]]&lt;=120, "1 to 2 hours", TRUE, "More than 2 hours")</f>
        <v>30 to 60 mins</v>
      </c>
      <c r="O301">
        <f>ROUND(calls[[#This Row],[Satisfaction Rating]],0)</f>
        <v>3</v>
      </c>
    </row>
    <row r="302" spans="2:15" x14ac:dyDescent="0.25">
      <c r="B302" t="s">
        <v>323</v>
      </c>
      <c r="C302" t="s">
        <v>16</v>
      </c>
      <c r="D302">
        <f>VLOOKUP(C302,customers[],3,0)</f>
        <v>41</v>
      </c>
      <c r="E302" t="str">
        <f>VLOOKUP(C302,customers[],2,0)</f>
        <v>Male</v>
      </c>
      <c r="F302" t="str">
        <f>VLOOKUP(C302,customers[],4,0)</f>
        <v>Columbus</v>
      </c>
      <c r="G302">
        <v>89</v>
      </c>
      <c r="H302" s="17" t="s">
        <v>10</v>
      </c>
      <c r="I302" s="18">
        <v>45016</v>
      </c>
      <c r="J302">
        <v>90</v>
      </c>
      <c r="K302">
        <v>4.5999999999999996</v>
      </c>
      <c r="L302">
        <f>IF(MONTH(calls[[#This Row],[Date of Call]])&lt;=6, YEAR(calls[[#This Row],[Date of Call]]), YEAR(calls[[#This Row],[Date of Call]])+1)</f>
        <v>2023</v>
      </c>
      <c r="M302" t="str">
        <f>TEXT(calls[[#This Row],[Date of Call]],"DDDD")</f>
        <v>الجمعة</v>
      </c>
      <c r="N302" t="str" cm="1">
        <f t="array" ref="N302">_xlfn.IFS(calls[[#This Row],[Duration]]&lt;=10,"Under 10 mins", calls[[#This Row],[Duration]]&lt;=30, "10 to 30 mins", calls[[#This Row],[Duration]]&lt;=60, "30 to 60 mins", calls[[#This Row],[Duration]]&lt;=120, "1 to 2 hours", TRUE, "More than 2 hours")</f>
        <v>1 to 2 hours</v>
      </c>
      <c r="O302">
        <f>ROUND(calls[[#This Row],[Satisfaction Rating]],0)</f>
        <v>5</v>
      </c>
    </row>
    <row r="303" spans="2:15" x14ac:dyDescent="0.25">
      <c r="B303" t="s">
        <v>324</v>
      </c>
      <c r="C303" t="s">
        <v>21</v>
      </c>
      <c r="D303">
        <f>VLOOKUP(C303,customers[],3,0)</f>
        <v>25</v>
      </c>
      <c r="E303" t="str">
        <f>VLOOKUP(C303,customers[],2,0)</f>
        <v>Female</v>
      </c>
      <c r="F303" t="str">
        <f>VLOOKUP(C303,customers[],4,0)</f>
        <v>Columbus</v>
      </c>
      <c r="G303">
        <v>87</v>
      </c>
      <c r="H303" s="17" t="s">
        <v>9</v>
      </c>
      <c r="I303" s="18">
        <v>45016</v>
      </c>
      <c r="J303">
        <v>225</v>
      </c>
      <c r="K303">
        <v>2.9</v>
      </c>
      <c r="L303">
        <f>IF(MONTH(calls[[#This Row],[Date of Call]])&lt;=6, YEAR(calls[[#This Row],[Date of Call]]), YEAR(calls[[#This Row],[Date of Call]])+1)</f>
        <v>2023</v>
      </c>
      <c r="M303" t="str">
        <f>TEXT(calls[[#This Row],[Date of Call]],"DDDD")</f>
        <v>الجمعة</v>
      </c>
      <c r="N303" t="str" cm="1">
        <f t="array" ref="N303">_xlfn.IFS(calls[[#This Row],[Duration]]&lt;=10,"Under 10 mins", calls[[#This Row],[Duration]]&lt;=30, "10 to 30 mins", calls[[#This Row],[Duration]]&lt;=60, "30 to 60 mins", calls[[#This Row],[Duration]]&lt;=120, "1 to 2 hours", TRUE, "More than 2 hours")</f>
        <v>1 to 2 hours</v>
      </c>
      <c r="O303">
        <f>ROUND(calls[[#This Row],[Satisfaction Rating]],0)</f>
        <v>3</v>
      </c>
    </row>
    <row r="304" spans="2:15" x14ac:dyDescent="0.25">
      <c r="B304" t="s">
        <v>325</v>
      </c>
      <c r="C304" t="s">
        <v>19</v>
      </c>
      <c r="D304">
        <f>VLOOKUP(C304,customers[],3,0)</f>
        <v>26</v>
      </c>
      <c r="E304" t="str">
        <f>VLOOKUP(C304,customers[],2,0)</f>
        <v>Male</v>
      </c>
      <c r="F304" t="str">
        <f>VLOOKUP(C304,customers[],4,0)</f>
        <v>Cincinnati</v>
      </c>
      <c r="G304">
        <v>60</v>
      </c>
      <c r="H304" s="17" t="s">
        <v>8</v>
      </c>
      <c r="I304" s="18">
        <v>45017</v>
      </c>
      <c r="J304">
        <v>215</v>
      </c>
      <c r="K304">
        <v>3.2</v>
      </c>
      <c r="L304">
        <f>IF(MONTH(calls[[#This Row],[Date of Call]])&lt;=6, YEAR(calls[[#This Row],[Date of Call]]), YEAR(calls[[#This Row],[Date of Call]])+1)</f>
        <v>2023</v>
      </c>
      <c r="M304" t="str">
        <f>TEXT(calls[[#This Row],[Date of Call]],"DDDD")</f>
        <v>السبت</v>
      </c>
      <c r="N304" t="str" cm="1">
        <f t="array" ref="N304">_xlfn.IFS(calls[[#This Row],[Duration]]&lt;=10,"Under 10 mins", calls[[#This Row],[Duration]]&lt;=30, "10 to 30 mins", calls[[#This Row],[Duration]]&lt;=60, "30 to 60 mins", calls[[#This Row],[Duration]]&lt;=120, "1 to 2 hours", TRUE, "More than 2 hours")</f>
        <v>30 to 60 mins</v>
      </c>
      <c r="O304">
        <f>ROUND(calls[[#This Row],[Satisfaction Rating]],0)</f>
        <v>3</v>
      </c>
    </row>
    <row r="305" spans="2:15" x14ac:dyDescent="0.25">
      <c r="B305" t="s">
        <v>326</v>
      </c>
      <c r="C305" t="s">
        <v>20</v>
      </c>
      <c r="D305">
        <f>VLOOKUP(C305,customers[],3,0)</f>
        <v>38</v>
      </c>
      <c r="E305" t="str">
        <f>VLOOKUP(C305,customers[],2,0)</f>
        <v>Female</v>
      </c>
      <c r="F305" t="str">
        <f>VLOOKUP(C305,customers[],4,0)</f>
        <v>Columbus</v>
      </c>
      <c r="G305">
        <v>42</v>
      </c>
      <c r="H305" s="17" t="s">
        <v>10</v>
      </c>
      <c r="I305" s="18">
        <v>45017</v>
      </c>
      <c r="J305">
        <v>45</v>
      </c>
      <c r="K305">
        <v>1.5</v>
      </c>
      <c r="L305">
        <f>IF(MONTH(calls[[#This Row],[Date of Call]])&lt;=6, YEAR(calls[[#This Row],[Date of Call]]), YEAR(calls[[#This Row],[Date of Call]])+1)</f>
        <v>2023</v>
      </c>
      <c r="M305" t="str">
        <f>TEXT(calls[[#This Row],[Date of Call]],"DDDD")</f>
        <v>السبت</v>
      </c>
      <c r="N305" t="str" cm="1">
        <f t="array" ref="N305">_xlfn.IFS(calls[[#This Row],[Duration]]&lt;=10,"Under 10 mins", calls[[#This Row],[Duration]]&lt;=30, "10 to 30 mins", calls[[#This Row],[Duration]]&lt;=60, "30 to 60 mins", calls[[#This Row],[Duration]]&lt;=120, "1 to 2 hours", TRUE, "More than 2 hours")</f>
        <v>30 to 60 mins</v>
      </c>
      <c r="O305">
        <f>ROUND(calls[[#This Row],[Satisfaction Rating]],0)</f>
        <v>2</v>
      </c>
    </row>
    <row r="306" spans="2:15" x14ac:dyDescent="0.25">
      <c r="B306" t="s">
        <v>327</v>
      </c>
      <c r="C306" t="s">
        <v>17</v>
      </c>
      <c r="D306">
        <f>VLOOKUP(C306,customers[],3,0)</f>
        <v>30</v>
      </c>
      <c r="E306" t="str">
        <f>VLOOKUP(C306,customers[],2,0)</f>
        <v>Female</v>
      </c>
      <c r="F306" t="str">
        <f>VLOOKUP(C306,customers[],4,0)</f>
        <v>Cleveland</v>
      </c>
      <c r="G306">
        <v>99</v>
      </c>
      <c r="H306" s="17" t="s">
        <v>8</v>
      </c>
      <c r="I306" s="18">
        <v>45017</v>
      </c>
      <c r="J306">
        <v>74</v>
      </c>
      <c r="K306">
        <v>4</v>
      </c>
      <c r="L306">
        <f>IF(MONTH(calls[[#This Row],[Date of Call]])&lt;=6, YEAR(calls[[#This Row],[Date of Call]]), YEAR(calls[[#This Row],[Date of Call]])+1)</f>
        <v>2023</v>
      </c>
      <c r="M306" t="str">
        <f>TEXT(calls[[#This Row],[Date of Call]],"DDDD")</f>
        <v>السبت</v>
      </c>
      <c r="N306" t="str" cm="1">
        <f t="array" ref="N306">_xlfn.IFS(calls[[#This Row],[Duration]]&lt;=10,"Under 10 mins", calls[[#This Row],[Duration]]&lt;=30, "10 to 30 mins", calls[[#This Row],[Duration]]&lt;=60, "30 to 60 mins", calls[[#This Row],[Duration]]&lt;=120, "1 to 2 hours", TRUE, "More than 2 hours")</f>
        <v>1 to 2 hours</v>
      </c>
      <c r="O306">
        <f>ROUND(calls[[#This Row],[Satisfaction Rating]],0)</f>
        <v>4</v>
      </c>
    </row>
    <row r="307" spans="2:15" x14ac:dyDescent="0.25">
      <c r="B307" t="s">
        <v>328</v>
      </c>
      <c r="C307" t="s">
        <v>22</v>
      </c>
      <c r="D307">
        <f>VLOOKUP(C307,customers[],3,0)</f>
        <v>37</v>
      </c>
      <c r="E307" t="str">
        <f>VLOOKUP(C307,customers[],2,0)</f>
        <v>Male</v>
      </c>
      <c r="F307" t="str">
        <f>VLOOKUP(C307,customers[],4,0)</f>
        <v>Columbus</v>
      </c>
      <c r="G307">
        <v>20</v>
      </c>
      <c r="H307" s="17" t="s">
        <v>10</v>
      </c>
      <c r="I307" s="18">
        <v>45017</v>
      </c>
      <c r="J307">
        <v>60</v>
      </c>
      <c r="K307">
        <v>3.6</v>
      </c>
      <c r="L307">
        <f>IF(MONTH(calls[[#This Row],[Date of Call]])&lt;=6, YEAR(calls[[#This Row],[Date of Call]]), YEAR(calls[[#This Row],[Date of Call]])+1)</f>
        <v>2023</v>
      </c>
      <c r="M307" t="str">
        <f>TEXT(calls[[#This Row],[Date of Call]],"DDDD")</f>
        <v>السبت</v>
      </c>
      <c r="N307" t="str" cm="1">
        <f t="array" ref="N307">_xlfn.IFS(calls[[#This Row],[Duration]]&lt;=10,"Under 10 mins", calls[[#This Row],[Duration]]&lt;=30, "10 to 30 mins", calls[[#This Row],[Duration]]&lt;=60, "30 to 60 mins", calls[[#This Row],[Duration]]&lt;=120, "1 to 2 hours", TRUE, "More than 2 hours")</f>
        <v>10 to 30 mins</v>
      </c>
      <c r="O307">
        <f>ROUND(calls[[#This Row],[Satisfaction Rating]],0)</f>
        <v>4</v>
      </c>
    </row>
    <row r="308" spans="2:15" x14ac:dyDescent="0.25">
      <c r="B308" t="s">
        <v>329</v>
      </c>
      <c r="C308" t="s">
        <v>13</v>
      </c>
      <c r="D308">
        <f>VLOOKUP(C308,customers[],3,0)</f>
        <v>37</v>
      </c>
      <c r="E308" t="str">
        <f>VLOOKUP(C308,customers[],2,0)</f>
        <v>Female</v>
      </c>
      <c r="F308" t="str">
        <f>VLOOKUP(C308,customers[],4,0)</f>
        <v>Cleveland</v>
      </c>
      <c r="G308">
        <v>65</v>
      </c>
      <c r="H308" s="17" t="s">
        <v>8</v>
      </c>
      <c r="I308" s="18">
        <v>45017</v>
      </c>
      <c r="J308">
        <v>64</v>
      </c>
      <c r="K308">
        <v>3.7</v>
      </c>
      <c r="L308">
        <f>IF(MONTH(calls[[#This Row],[Date of Call]])&lt;=6, YEAR(calls[[#This Row],[Date of Call]]), YEAR(calls[[#This Row],[Date of Call]])+1)</f>
        <v>2023</v>
      </c>
      <c r="M308" t="str">
        <f>TEXT(calls[[#This Row],[Date of Call]],"DDDD")</f>
        <v>السبت</v>
      </c>
      <c r="N308" t="str" cm="1">
        <f t="array" ref="N308">_xlfn.IFS(calls[[#This Row],[Duration]]&lt;=10,"Under 10 mins", calls[[#This Row],[Duration]]&lt;=30, "10 to 30 mins", calls[[#This Row],[Duration]]&lt;=60, "30 to 60 mins", calls[[#This Row],[Duration]]&lt;=120, "1 to 2 hours", TRUE, "More than 2 hours")</f>
        <v>1 to 2 hours</v>
      </c>
      <c r="O308">
        <f>ROUND(calls[[#This Row],[Satisfaction Rating]],0)</f>
        <v>4</v>
      </c>
    </row>
    <row r="309" spans="2:15" x14ac:dyDescent="0.25">
      <c r="B309" t="s">
        <v>330</v>
      </c>
      <c r="C309" t="s">
        <v>15</v>
      </c>
      <c r="D309">
        <f>VLOOKUP(C309,customers[],3,0)</f>
        <v>28</v>
      </c>
      <c r="E309" t="str">
        <f>VLOOKUP(C309,customers[],2,0)</f>
        <v>Female</v>
      </c>
      <c r="F309" t="str">
        <f>VLOOKUP(C309,customers[],4,0)</f>
        <v>Cincinnati</v>
      </c>
      <c r="G309">
        <v>71</v>
      </c>
      <c r="H309" s="17" t="s">
        <v>9</v>
      </c>
      <c r="I309" s="18">
        <v>45018</v>
      </c>
      <c r="J309">
        <v>110</v>
      </c>
      <c r="K309">
        <v>4.8</v>
      </c>
      <c r="L309">
        <f>IF(MONTH(calls[[#This Row],[Date of Call]])&lt;=6, YEAR(calls[[#This Row],[Date of Call]]), YEAR(calls[[#This Row],[Date of Call]])+1)</f>
        <v>2023</v>
      </c>
      <c r="M309" t="str">
        <f>TEXT(calls[[#This Row],[Date of Call]],"DDDD")</f>
        <v>الأحد</v>
      </c>
      <c r="N309" t="str" cm="1">
        <f t="array" ref="N309">_xlfn.IFS(calls[[#This Row],[Duration]]&lt;=10,"Under 10 mins", calls[[#This Row],[Duration]]&lt;=30, "10 to 30 mins", calls[[#This Row],[Duration]]&lt;=60, "30 to 60 mins", calls[[#This Row],[Duration]]&lt;=120, "1 to 2 hours", TRUE, "More than 2 hours")</f>
        <v>1 to 2 hours</v>
      </c>
      <c r="O309">
        <f>ROUND(calls[[#This Row],[Satisfaction Rating]],0)</f>
        <v>5</v>
      </c>
    </row>
    <row r="310" spans="2:15" x14ac:dyDescent="0.25">
      <c r="B310" t="s">
        <v>331</v>
      </c>
      <c r="C310" t="s">
        <v>11</v>
      </c>
      <c r="D310">
        <f>VLOOKUP(C310,customers[],3,0)</f>
        <v>36</v>
      </c>
      <c r="E310" t="str">
        <f>VLOOKUP(C310,customers[],2,0)</f>
        <v>Male</v>
      </c>
      <c r="F310" t="str">
        <f>VLOOKUP(C310,customers[],4,0)</f>
        <v>Cincinnati</v>
      </c>
      <c r="G310">
        <v>95</v>
      </c>
      <c r="H310" s="17" t="s">
        <v>5</v>
      </c>
      <c r="I310" s="18">
        <v>45018</v>
      </c>
      <c r="J310">
        <v>52</v>
      </c>
      <c r="K310">
        <v>1.2</v>
      </c>
      <c r="L310">
        <f>IF(MONTH(calls[[#This Row],[Date of Call]])&lt;=6, YEAR(calls[[#This Row],[Date of Call]]), YEAR(calls[[#This Row],[Date of Call]])+1)</f>
        <v>2023</v>
      </c>
      <c r="M310" t="str">
        <f>TEXT(calls[[#This Row],[Date of Call]],"DDDD")</f>
        <v>الأحد</v>
      </c>
      <c r="N310" t="str" cm="1">
        <f t="array" ref="N310">_xlfn.IFS(calls[[#This Row],[Duration]]&lt;=10,"Under 10 mins", calls[[#This Row],[Duration]]&lt;=30, "10 to 30 mins", calls[[#This Row],[Duration]]&lt;=60, "30 to 60 mins", calls[[#This Row],[Duration]]&lt;=120, "1 to 2 hours", TRUE, "More than 2 hours")</f>
        <v>1 to 2 hours</v>
      </c>
      <c r="O310">
        <f>ROUND(calls[[#This Row],[Satisfaction Rating]],0)</f>
        <v>1</v>
      </c>
    </row>
    <row r="311" spans="2:15" x14ac:dyDescent="0.25">
      <c r="B311" t="s">
        <v>332</v>
      </c>
      <c r="C311" t="s">
        <v>22</v>
      </c>
      <c r="D311">
        <f>VLOOKUP(C311,customers[],3,0)</f>
        <v>37</v>
      </c>
      <c r="E311" t="str">
        <f>VLOOKUP(C311,customers[],2,0)</f>
        <v>Male</v>
      </c>
      <c r="F311" t="str">
        <f>VLOOKUP(C311,customers[],4,0)</f>
        <v>Columbus</v>
      </c>
      <c r="G311">
        <v>81</v>
      </c>
      <c r="H311" s="17" t="s">
        <v>12</v>
      </c>
      <c r="I311" s="18">
        <v>45019</v>
      </c>
      <c r="J311">
        <v>160</v>
      </c>
      <c r="K311">
        <v>4.7</v>
      </c>
      <c r="L311">
        <f>IF(MONTH(calls[[#This Row],[Date of Call]])&lt;=6, YEAR(calls[[#This Row],[Date of Call]]), YEAR(calls[[#This Row],[Date of Call]])+1)</f>
        <v>2023</v>
      </c>
      <c r="M311" t="str">
        <f>TEXT(calls[[#This Row],[Date of Call]],"DDDD")</f>
        <v>الإثنين</v>
      </c>
      <c r="N311" t="str" cm="1">
        <f t="array" ref="N311">_xlfn.IFS(calls[[#This Row],[Duration]]&lt;=10,"Under 10 mins", calls[[#This Row],[Duration]]&lt;=30, "10 to 30 mins", calls[[#This Row],[Duration]]&lt;=60, "30 to 60 mins", calls[[#This Row],[Duration]]&lt;=120, "1 to 2 hours", TRUE, "More than 2 hours")</f>
        <v>1 to 2 hours</v>
      </c>
      <c r="O311">
        <f>ROUND(calls[[#This Row],[Satisfaction Rating]],0)</f>
        <v>5</v>
      </c>
    </row>
    <row r="312" spans="2:15" x14ac:dyDescent="0.25">
      <c r="B312" t="s">
        <v>333</v>
      </c>
      <c r="C312" t="s">
        <v>6</v>
      </c>
      <c r="D312">
        <f>VLOOKUP(C312,customers[],3,0)</f>
        <v>23</v>
      </c>
      <c r="E312" t="str">
        <f>VLOOKUP(C312,customers[],2,0)</f>
        <v>Male</v>
      </c>
      <c r="F312" t="str">
        <f>VLOOKUP(C312,customers[],4,0)</f>
        <v>Columbus</v>
      </c>
      <c r="G312">
        <v>137</v>
      </c>
      <c r="H312" s="17" t="s">
        <v>12</v>
      </c>
      <c r="I312" s="18">
        <v>45019</v>
      </c>
      <c r="J312">
        <v>215</v>
      </c>
      <c r="K312">
        <v>4.7</v>
      </c>
      <c r="L312">
        <f>IF(MONTH(calls[[#This Row],[Date of Call]])&lt;=6, YEAR(calls[[#This Row],[Date of Call]]), YEAR(calls[[#This Row],[Date of Call]])+1)</f>
        <v>2023</v>
      </c>
      <c r="M312" t="str">
        <f>TEXT(calls[[#This Row],[Date of Call]],"DDDD")</f>
        <v>الإثنين</v>
      </c>
      <c r="N312" t="str" cm="1">
        <f t="array" ref="N312">_xlfn.IFS(calls[[#This Row],[Duration]]&lt;=10,"Under 10 mins", calls[[#This Row],[Duration]]&lt;=30, "10 to 30 mins", calls[[#This Row],[Duration]]&lt;=60, "30 to 60 mins", calls[[#This Row],[Duration]]&lt;=120, "1 to 2 hours", TRUE, "More than 2 hours")</f>
        <v>More than 2 hours</v>
      </c>
      <c r="O312">
        <f>ROUND(calls[[#This Row],[Satisfaction Rating]],0)</f>
        <v>5</v>
      </c>
    </row>
    <row r="313" spans="2:15" x14ac:dyDescent="0.25">
      <c r="B313" t="s">
        <v>334</v>
      </c>
      <c r="C313" t="s">
        <v>6</v>
      </c>
      <c r="D313">
        <f>VLOOKUP(C313,customers[],3,0)</f>
        <v>23</v>
      </c>
      <c r="E313" t="str">
        <f>VLOOKUP(C313,customers[],2,0)</f>
        <v>Male</v>
      </c>
      <c r="F313" t="str">
        <f>VLOOKUP(C313,customers[],4,0)</f>
        <v>Columbus</v>
      </c>
      <c r="G313">
        <v>40</v>
      </c>
      <c r="H313" s="17" t="s">
        <v>5</v>
      </c>
      <c r="I313" s="18">
        <v>45019</v>
      </c>
      <c r="J313">
        <v>220</v>
      </c>
      <c r="K313">
        <v>4.5</v>
      </c>
      <c r="L313">
        <f>IF(MONTH(calls[[#This Row],[Date of Call]])&lt;=6, YEAR(calls[[#This Row],[Date of Call]]), YEAR(calls[[#This Row],[Date of Call]])+1)</f>
        <v>2023</v>
      </c>
      <c r="M313" t="str">
        <f>TEXT(calls[[#This Row],[Date of Call]],"DDDD")</f>
        <v>الإثنين</v>
      </c>
      <c r="N313" t="str" cm="1">
        <f t="array" ref="N313">_xlfn.IFS(calls[[#This Row],[Duration]]&lt;=10,"Under 10 mins", calls[[#This Row],[Duration]]&lt;=30, "10 to 30 mins", calls[[#This Row],[Duration]]&lt;=60, "30 to 60 mins", calls[[#This Row],[Duration]]&lt;=120, "1 to 2 hours", TRUE, "More than 2 hours")</f>
        <v>30 to 60 mins</v>
      </c>
      <c r="O313">
        <f>ROUND(calls[[#This Row],[Satisfaction Rating]],0)</f>
        <v>5</v>
      </c>
    </row>
    <row r="314" spans="2:15" x14ac:dyDescent="0.25">
      <c r="B314" t="s">
        <v>335</v>
      </c>
      <c r="C314" t="s">
        <v>17</v>
      </c>
      <c r="D314">
        <f>VLOOKUP(C314,customers[],3,0)</f>
        <v>30</v>
      </c>
      <c r="E314" t="str">
        <f>VLOOKUP(C314,customers[],2,0)</f>
        <v>Female</v>
      </c>
      <c r="F314" t="str">
        <f>VLOOKUP(C314,customers[],4,0)</f>
        <v>Cleveland</v>
      </c>
      <c r="G314">
        <v>111</v>
      </c>
      <c r="H314" s="17" t="s">
        <v>8</v>
      </c>
      <c r="I314" s="18">
        <v>45020</v>
      </c>
      <c r="J314">
        <v>175</v>
      </c>
      <c r="K314">
        <v>3.5</v>
      </c>
      <c r="L314">
        <f>IF(MONTH(calls[[#This Row],[Date of Call]])&lt;=6, YEAR(calls[[#This Row],[Date of Call]]), YEAR(calls[[#This Row],[Date of Call]])+1)</f>
        <v>2023</v>
      </c>
      <c r="M314" t="str">
        <f>TEXT(calls[[#This Row],[Date of Call]],"DDDD")</f>
        <v>الثلاثاء</v>
      </c>
      <c r="N314" t="str" cm="1">
        <f t="array" ref="N314">_xlfn.IFS(calls[[#This Row],[Duration]]&lt;=10,"Under 10 mins", calls[[#This Row],[Duration]]&lt;=30, "10 to 30 mins", calls[[#This Row],[Duration]]&lt;=60, "30 to 60 mins", calls[[#This Row],[Duration]]&lt;=120, "1 to 2 hours", TRUE, "More than 2 hours")</f>
        <v>1 to 2 hours</v>
      </c>
      <c r="O314">
        <f>ROUND(calls[[#This Row],[Satisfaction Rating]],0)</f>
        <v>4</v>
      </c>
    </row>
    <row r="315" spans="2:15" x14ac:dyDescent="0.25">
      <c r="B315" t="s">
        <v>336</v>
      </c>
      <c r="C315" t="s">
        <v>15</v>
      </c>
      <c r="D315">
        <f>VLOOKUP(C315,customers[],3,0)</f>
        <v>28</v>
      </c>
      <c r="E315" t="str">
        <f>VLOOKUP(C315,customers[],2,0)</f>
        <v>Female</v>
      </c>
      <c r="F315" t="str">
        <f>VLOOKUP(C315,customers[],4,0)</f>
        <v>Cincinnati</v>
      </c>
      <c r="G315">
        <v>106</v>
      </c>
      <c r="H315" s="17" t="s">
        <v>8</v>
      </c>
      <c r="I315" s="18">
        <v>45020</v>
      </c>
      <c r="J315">
        <v>145</v>
      </c>
      <c r="K315">
        <v>4.0999999999999996</v>
      </c>
      <c r="L315">
        <f>IF(MONTH(calls[[#This Row],[Date of Call]])&lt;=6, YEAR(calls[[#This Row],[Date of Call]]), YEAR(calls[[#This Row],[Date of Call]])+1)</f>
        <v>2023</v>
      </c>
      <c r="M315" t="str">
        <f>TEXT(calls[[#This Row],[Date of Call]],"DDDD")</f>
        <v>الثلاثاء</v>
      </c>
      <c r="N315" t="str" cm="1">
        <f t="array" ref="N315">_xlfn.IFS(calls[[#This Row],[Duration]]&lt;=10,"Under 10 mins", calls[[#This Row],[Duration]]&lt;=30, "10 to 30 mins", calls[[#This Row],[Duration]]&lt;=60, "30 to 60 mins", calls[[#This Row],[Duration]]&lt;=120, "1 to 2 hours", TRUE, "More than 2 hours")</f>
        <v>1 to 2 hours</v>
      </c>
      <c r="O315">
        <f>ROUND(calls[[#This Row],[Satisfaction Rating]],0)</f>
        <v>4</v>
      </c>
    </row>
    <row r="316" spans="2:15" x14ac:dyDescent="0.25">
      <c r="B316" t="s">
        <v>337</v>
      </c>
      <c r="C316" t="s">
        <v>20</v>
      </c>
      <c r="D316">
        <f>VLOOKUP(C316,customers[],3,0)</f>
        <v>38</v>
      </c>
      <c r="E316" t="str">
        <f>VLOOKUP(C316,customers[],2,0)</f>
        <v>Female</v>
      </c>
      <c r="F316" t="str">
        <f>VLOOKUP(C316,customers[],4,0)</f>
        <v>Columbus</v>
      </c>
      <c r="G316">
        <v>133</v>
      </c>
      <c r="H316" s="17" t="s">
        <v>10</v>
      </c>
      <c r="I316" s="18">
        <v>45020</v>
      </c>
      <c r="J316">
        <v>72</v>
      </c>
      <c r="K316">
        <v>4.4000000000000004</v>
      </c>
      <c r="L316">
        <f>IF(MONTH(calls[[#This Row],[Date of Call]])&lt;=6, YEAR(calls[[#This Row],[Date of Call]]), YEAR(calls[[#This Row],[Date of Call]])+1)</f>
        <v>2023</v>
      </c>
      <c r="M316" t="str">
        <f>TEXT(calls[[#This Row],[Date of Call]],"DDDD")</f>
        <v>الثلاثاء</v>
      </c>
      <c r="N316" t="str" cm="1">
        <f t="array" ref="N316">_xlfn.IFS(calls[[#This Row],[Duration]]&lt;=10,"Under 10 mins", calls[[#This Row],[Duration]]&lt;=30, "10 to 30 mins", calls[[#This Row],[Duration]]&lt;=60, "30 to 60 mins", calls[[#This Row],[Duration]]&lt;=120, "1 to 2 hours", TRUE, "More than 2 hours")</f>
        <v>More than 2 hours</v>
      </c>
      <c r="O316">
        <f>ROUND(calls[[#This Row],[Satisfaction Rating]],0)</f>
        <v>4</v>
      </c>
    </row>
    <row r="317" spans="2:15" x14ac:dyDescent="0.25">
      <c r="B317" t="s">
        <v>338</v>
      </c>
      <c r="C317" t="s">
        <v>14</v>
      </c>
      <c r="D317">
        <f>VLOOKUP(C317,customers[],3,0)</f>
        <v>22</v>
      </c>
      <c r="E317" t="str">
        <f>VLOOKUP(C317,customers[],2,0)</f>
        <v>Female</v>
      </c>
      <c r="F317" t="str">
        <f>VLOOKUP(C317,customers[],4,0)</f>
        <v>Cleveland</v>
      </c>
      <c r="G317">
        <v>38</v>
      </c>
      <c r="H317" s="17" t="s">
        <v>8</v>
      </c>
      <c r="I317" s="18">
        <v>45021</v>
      </c>
      <c r="J317">
        <v>81</v>
      </c>
      <c r="K317">
        <v>3.6</v>
      </c>
      <c r="L317">
        <f>IF(MONTH(calls[[#This Row],[Date of Call]])&lt;=6, YEAR(calls[[#This Row],[Date of Call]]), YEAR(calls[[#This Row],[Date of Call]])+1)</f>
        <v>2023</v>
      </c>
      <c r="M317" t="str">
        <f>TEXT(calls[[#This Row],[Date of Call]],"DDDD")</f>
        <v>الأربعاء</v>
      </c>
      <c r="N317" t="str" cm="1">
        <f t="array" ref="N317">_xlfn.IFS(calls[[#This Row],[Duration]]&lt;=10,"Under 10 mins", calls[[#This Row],[Duration]]&lt;=30, "10 to 30 mins", calls[[#This Row],[Duration]]&lt;=60, "30 to 60 mins", calls[[#This Row],[Duration]]&lt;=120, "1 to 2 hours", TRUE, "More than 2 hours")</f>
        <v>30 to 60 mins</v>
      </c>
      <c r="O317">
        <f>ROUND(calls[[#This Row],[Satisfaction Rating]],0)</f>
        <v>4</v>
      </c>
    </row>
    <row r="318" spans="2:15" x14ac:dyDescent="0.25">
      <c r="B318" t="s">
        <v>339</v>
      </c>
      <c r="C318" t="s">
        <v>18</v>
      </c>
      <c r="D318">
        <f>VLOOKUP(C318,customers[],3,0)</f>
        <v>43</v>
      </c>
      <c r="E318" t="str">
        <f>VLOOKUP(C318,customers[],2,0)</f>
        <v>Female</v>
      </c>
      <c r="F318" t="str">
        <f>VLOOKUP(C318,customers[],4,0)</f>
        <v>Cleveland</v>
      </c>
      <c r="G318">
        <v>130</v>
      </c>
      <c r="H318" s="17" t="s">
        <v>5</v>
      </c>
      <c r="I318" s="18">
        <v>45021</v>
      </c>
      <c r="J318">
        <v>54</v>
      </c>
      <c r="K318">
        <v>4.0999999999999996</v>
      </c>
      <c r="L318">
        <f>IF(MONTH(calls[[#This Row],[Date of Call]])&lt;=6, YEAR(calls[[#This Row],[Date of Call]]), YEAR(calls[[#This Row],[Date of Call]])+1)</f>
        <v>2023</v>
      </c>
      <c r="M318" t="str">
        <f>TEXT(calls[[#This Row],[Date of Call]],"DDDD")</f>
        <v>الأربعاء</v>
      </c>
      <c r="N318" t="str" cm="1">
        <f t="array" ref="N318">_xlfn.IFS(calls[[#This Row],[Duration]]&lt;=10,"Under 10 mins", calls[[#This Row],[Duration]]&lt;=30, "10 to 30 mins", calls[[#This Row],[Duration]]&lt;=60, "30 to 60 mins", calls[[#This Row],[Duration]]&lt;=120, "1 to 2 hours", TRUE, "More than 2 hours")</f>
        <v>More than 2 hours</v>
      </c>
      <c r="O318">
        <f>ROUND(calls[[#This Row],[Satisfaction Rating]],0)</f>
        <v>4</v>
      </c>
    </row>
    <row r="319" spans="2:15" x14ac:dyDescent="0.25">
      <c r="B319" t="s">
        <v>340</v>
      </c>
      <c r="C319" t="s">
        <v>13</v>
      </c>
      <c r="D319">
        <f>VLOOKUP(C319,customers[],3,0)</f>
        <v>37</v>
      </c>
      <c r="E319" t="str">
        <f>VLOOKUP(C319,customers[],2,0)</f>
        <v>Female</v>
      </c>
      <c r="F319" t="str">
        <f>VLOOKUP(C319,customers[],4,0)</f>
        <v>Cleveland</v>
      </c>
      <c r="G319">
        <v>23</v>
      </c>
      <c r="H319" s="17" t="s">
        <v>10</v>
      </c>
      <c r="I319" s="18">
        <v>45021</v>
      </c>
      <c r="J319">
        <v>105</v>
      </c>
      <c r="K319">
        <v>4.8</v>
      </c>
      <c r="L319">
        <f>IF(MONTH(calls[[#This Row],[Date of Call]])&lt;=6, YEAR(calls[[#This Row],[Date of Call]]), YEAR(calls[[#This Row],[Date of Call]])+1)</f>
        <v>2023</v>
      </c>
      <c r="M319" t="str">
        <f>TEXT(calls[[#This Row],[Date of Call]],"DDDD")</f>
        <v>الأربعاء</v>
      </c>
      <c r="N319" t="str" cm="1">
        <f t="array" ref="N319">_xlfn.IFS(calls[[#This Row],[Duration]]&lt;=10,"Under 10 mins", calls[[#This Row],[Duration]]&lt;=30, "10 to 30 mins", calls[[#This Row],[Duration]]&lt;=60, "30 to 60 mins", calls[[#This Row],[Duration]]&lt;=120, "1 to 2 hours", TRUE, "More than 2 hours")</f>
        <v>10 to 30 mins</v>
      </c>
      <c r="O319">
        <f>ROUND(calls[[#This Row],[Satisfaction Rating]],0)</f>
        <v>5</v>
      </c>
    </row>
    <row r="320" spans="2:15" x14ac:dyDescent="0.25">
      <c r="B320" t="s">
        <v>341</v>
      </c>
      <c r="C320" t="s">
        <v>18</v>
      </c>
      <c r="D320">
        <f>VLOOKUP(C320,customers[],3,0)</f>
        <v>43</v>
      </c>
      <c r="E320" t="str">
        <f>VLOOKUP(C320,customers[],2,0)</f>
        <v>Female</v>
      </c>
      <c r="F320" t="str">
        <f>VLOOKUP(C320,customers[],4,0)</f>
        <v>Cleveland</v>
      </c>
      <c r="G320">
        <v>124</v>
      </c>
      <c r="H320" s="17" t="s">
        <v>8</v>
      </c>
      <c r="I320" s="18">
        <v>45022</v>
      </c>
      <c r="J320">
        <v>176</v>
      </c>
      <c r="K320">
        <v>3.9</v>
      </c>
      <c r="L320">
        <f>IF(MONTH(calls[[#This Row],[Date of Call]])&lt;=6, YEAR(calls[[#This Row],[Date of Call]]), YEAR(calls[[#This Row],[Date of Call]])+1)</f>
        <v>2023</v>
      </c>
      <c r="M320" t="str">
        <f>TEXT(calls[[#This Row],[Date of Call]],"DDDD")</f>
        <v>الخميس</v>
      </c>
      <c r="N320" t="str" cm="1">
        <f t="array" ref="N320">_xlfn.IFS(calls[[#This Row],[Duration]]&lt;=10,"Under 10 mins", calls[[#This Row],[Duration]]&lt;=30, "10 to 30 mins", calls[[#This Row],[Duration]]&lt;=60, "30 to 60 mins", calls[[#This Row],[Duration]]&lt;=120, "1 to 2 hours", TRUE, "More than 2 hours")</f>
        <v>More than 2 hours</v>
      </c>
      <c r="O320">
        <f>ROUND(calls[[#This Row],[Satisfaction Rating]],0)</f>
        <v>4</v>
      </c>
    </row>
    <row r="321" spans="2:15" x14ac:dyDescent="0.25">
      <c r="B321" t="s">
        <v>342</v>
      </c>
      <c r="C321" t="s">
        <v>22</v>
      </c>
      <c r="D321">
        <f>VLOOKUP(C321,customers[],3,0)</f>
        <v>37</v>
      </c>
      <c r="E321" t="str">
        <f>VLOOKUP(C321,customers[],2,0)</f>
        <v>Male</v>
      </c>
      <c r="F321" t="str">
        <f>VLOOKUP(C321,customers[],4,0)</f>
        <v>Columbus</v>
      </c>
      <c r="G321">
        <v>107</v>
      </c>
      <c r="H321" s="17" t="s">
        <v>8</v>
      </c>
      <c r="I321" s="18">
        <v>45022</v>
      </c>
      <c r="J321">
        <v>115</v>
      </c>
      <c r="K321">
        <v>3.8</v>
      </c>
      <c r="L321">
        <f>IF(MONTH(calls[[#This Row],[Date of Call]])&lt;=6, YEAR(calls[[#This Row],[Date of Call]]), YEAR(calls[[#This Row],[Date of Call]])+1)</f>
        <v>2023</v>
      </c>
      <c r="M321" t="str">
        <f>TEXT(calls[[#This Row],[Date of Call]],"DDDD")</f>
        <v>الخميس</v>
      </c>
      <c r="N321" t="str" cm="1">
        <f t="array" ref="N321">_xlfn.IFS(calls[[#This Row],[Duration]]&lt;=10,"Under 10 mins", calls[[#This Row],[Duration]]&lt;=30, "10 to 30 mins", calls[[#This Row],[Duration]]&lt;=60, "30 to 60 mins", calls[[#This Row],[Duration]]&lt;=120, "1 to 2 hours", TRUE, "More than 2 hours")</f>
        <v>1 to 2 hours</v>
      </c>
      <c r="O321">
        <f>ROUND(calls[[#This Row],[Satisfaction Rating]],0)</f>
        <v>4</v>
      </c>
    </row>
    <row r="322" spans="2:15" x14ac:dyDescent="0.25">
      <c r="B322" t="s">
        <v>343</v>
      </c>
      <c r="C322" t="s">
        <v>6</v>
      </c>
      <c r="D322">
        <f>VLOOKUP(C322,customers[],3,0)</f>
        <v>23</v>
      </c>
      <c r="E322" t="str">
        <f>VLOOKUP(C322,customers[],2,0)</f>
        <v>Male</v>
      </c>
      <c r="F322" t="str">
        <f>VLOOKUP(C322,customers[],4,0)</f>
        <v>Columbus</v>
      </c>
      <c r="G322">
        <v>60</v>
      </c>
      <c r="H322" s="17" t="s">
        <v>9</v>
      </c>
      <c r="I322" s="18">
        <v>45022</v>
      </c>
      <c r="J322">
        <v>116</v>
      </c>
      <c r="K322">
        <v>3.9</v>
      </c>
      <c r="L322">
        <f>IF(MONTH(calls[[#This Row],[Date of Call]])&lt;=6, YEAR(calls[[#This Row],[Date of Call]]), YEAR(calls[[#This Row],[Date of Call]])+1)</f>
        <v>2023</v>
      </c>
      <c r="M322" t="str">
        <f>TEXT(calls[[#This Row],[Date of Call]],"DDDD")</f>
        <v>الخميس</v>
      </c>
      <c r="N322" t="str" cm="1">
        <f t="array" ref="N322">_xlfn.IFS(calls[[#This Row],[Duration]]&lt;=10,"Under 10 mins", calls[[#This Row],[Duration]]&lt;=30, "10 to 30 mins", calls[[#This Row],[Duration]]&lt;=60, "30 to 60 mins", calls[[#This Row],[Duration]]&lt;=120, "1 to 2 hours", TRUE, "More than 2 hours")</f>
        <v>30 to 60 mins</v>
      </c>
      <c r="O322">
        <f>ROUND(calls[[#This Row],[Satisfaction Rating]],0)</f>
        <v>4</v>
      </c>
    </row>
    <row r="323" spans="2:15" x14ac:dyDescent="0.25">
      <c r="B323" t="s">
        <v>344</v>
      </c>
      <c r="C323" t="s">
        <v>6</v>
      </c>
      <c r="D323">
        <f>VLOOKUP(C323,customers[],3,0)</f>
        <v>23</v>
      </c>
      <c r="E323" t="str">
        <f>VLOOKUP(C323,customers[],2,0)</f>
        <v>Male</v>
      </c>
      <c r="F323" t="str">
        <f>VLOOKUP(C323,customers[],4,0)</f>
        <v>Columbus</v>
      </c>
      <c r="G323">
        <v>158</v>
      </c>
      <c r="H323" s="17" t="s">
        <v>5</v>
      </c>
      <c r="I323" s="18">
        <v>45022</v>
      </c>
      <c r="J323">
        <v>100</v>
      </c>
      <c r="K323">
        <v>4.0999999999999996</v>
      </c>
      <c r="L323">
        <f>IF(MONTH(calls[[#This Row],[Date of Call]])&lt;=6, YEAR(calls[[#This Row],[Date of Call]]), YEAR(calls[[#This Row],[Date of Call]])+1)</f>
        <v>2023</v>
      </c>
      <c r="M323" t="str">
        <f>TEXT(calls[[#This Row],[Date of Call]],"DDDD")</f>
        <v>الخميس</v>
      </c>
      <c r="N323" t="str" cm="1">
        <f t="array" ref="N323">_xlfn.IFS(calls[[#This Row],[Duration]]&lt;=10,"Under 10 mins", calls[[#This Row],[Duration]]&lt;=30, "10 to 30 mins", calls[[#This Row],[Duration]]&lt;=60, "30 to 60 mins", calls[[#This Row],[Duration]]&lt;=120, "1 to 2 hours", TRUE, "More than 2 hours")</f>
        <v>More than 2 hours</v>
      </c>
      <c r="O323">
        <f>ROUND(calls[[#This Row],[Satisfaction Rating]],0)</f>
        <v>4</v>
      </c>
    </row>
    <row r="324" spans="2:15" x14ac:dyDescent="0.25">
      <c r="B324" t="s">
        <v>345</v>
      </c>
      <c r="C324" t="s">
        <v>21</v>
      </c>
      <c r="D324">
        <f>VLOOKUP(C324,customers[],3,0)</f>
        <v>25</v>
      </c>
      <c r="E324" t="str">
        <f>VLOOKUP(C324,customers[],2,0)</f>
        <v>Female</v>
      </c>
      <c r="F324" t="str">
        <f>VLOOKUP(C324,customers[],4,0)</f>
        <v>Columbus</v>
      </c>
      <c r="G324">
        <v>110</v>
      </c>
      <c r="H324" s="17" t="s">
        <v>5</v>
      </c>
      <c r="I324" s="18">
        <v>45023</v>
      </c>
      <c r="J324">
        <v>36</v>
      </c>
      <c r="K324">
        <v>2.2000000000000002</v>
      </c>
      <c r="L324">
        <f>IF(MONTH(calls[[#This Row],[Date of Call]])&lt;=6, YEAR(calls[[#This Row],[Date of Call]]), YEAR(calls[[#This Row],[Date of Call]])+1)</f>
        <v>2023</v>
      </c>
      <c r="M324" t="str">
        <f>TEXT(calls[[#This Row],[Date of Call]],"DDDD")</f>
        <v>الجمعة</v>
      </c>
      <c r="N324" t="str" cm="1">
        <f t="array" ref="N324">_xlfn.IFS(calls[[#This Row],[Duration]]&lt;=10,"Under 10 mins", calls[[#This Row],[Duration]]&lt;=30, "10 to 30 mins", calls[[#This Row],[Duration]]&lt;=60, "30 to 60 mins", calls[[#This Row],[Duration]]&lt;=120, "1 to 2 hours", TRUE, "More than 2 hours")</f>
        <v>1 to 2 hours</v>
      </c>
      <c r="O324">
        <f>ROUND(calls[[#This Row],[Satisfaction Rating]],0)</f>
        <v>2</v>
      </c>
    </row>
    <row r="325" spans="2:15" x14ac:dyDescent="0.25">
      <c r="B325" t="s">
        <v>346</v>
      </c>
      <c r="C325" t="s">
        <v>16</v>
      </c>
      <c r="D325">
        <f>VLOOKUP(C325,customers[],3,0)</f>
        <v>41</v>
      </c>
      <c r="E325" t="str">
        <f>VLOOKUP(C325,customers[],2,0)</f>
        <v>Male</v>
      </c>
      <c r="F325" t="str">
        <f>VLOOKUP(C325,customers[],4,0)</f>
        <v>Columbus</v>
      </c>
      <c r="G325">
        <v>70</v>
      </c>
      <c r="H325" s="17" t="s">
        <v>5</v>
      </c>
      <c r="I325" s="18">
        <v>45023</v>
      </c>
      <c r="J325">
        <v>114</v>
      </c>
      <c r="K325">
        <v>5</v>
      </c>
      <c r="L325">
        <f>IF(MONTH(calls[[#This Row],[Date of Call]])&lt;=6, YEAR(calls[[#This Row],[Date of Call]]), YEAR(calls[[#This Row],[Date of Call]])+1)</f>
        <v>2023</v>
      </c>
      <c r="M325" t="str">
        <f>TEXT(calls[[#This Row],[Date of Call]],"DDDD")</f>
        <v>الجمعة</v>
      </c>
      <c r="N325" t="str" cm="1">
        <f t="array" ref="N325">_xlfn.IFS(calls[[#This Row],[Duration]]&lt;=10,"Under 10 mins", calls[[#This Row],[Duration]]&lt;=30, "10 to 30 mins", calls[[#This Row],[Duration]]&lt;=60, "30 to 60 mins", calls[[#This Row],[Duration]]&lt;=120, "1 to 2 hours", TRUE, "More than 2 hours")</f>
        <v>1 to 2 hours</v>
      </c>
      <c r="O325">
        <f>ROUND(calls[[#This Row],[Satisfaction Rating]],0)</f>
        <v>5</v>
      </c>
    </row>
    <row r="326" spans="2:15" x14ac:dyDescent="0.25">
      <c r="B326" t="s">
        <v>347</v>
      </c>
      <c r="C326" t="s">
        <v>16</v>
      </c>
      <c r="D326">
        <f>VLOOKUP(C326,customers[],3,0)</f>
        <v>41</v>
      </c>
      <c r="E326" t="str">
        <f>VLOOKUP(C326,customers[],2,0)</f>
        <v>Male</v>
      </c>
      <c r="F326" t="str">
        <f>VLOOKUP(C326,customers[],4,0)</f>
        <v>Columbus</v>
      </c>
      <c r="G326">
        <v>150</v>
      </c>
      <c r="H326" s="17" t="s">
        <v>9</v>
      </c>
      <c r="I326" s="18">
        <v>45023</v>
      </c>
      <c r="J326">
        <v>24</v>
      </c>
      <c r="K326">
        <v>3.8</v>
      </c>
      <c r="L326">
        <f>IF(MONTH(calls[[#This Row],[Date of Call]])&lt;=6, YEAR(calls[[#This Row],[Date of Call]]), YEAR(calls[[#This Row],[Date of Call]])+1)</f>
        <v>2023</v>
      </c>
      <c r="M326" t="str">
        <f>TEXT(calls[[#This Row],[Date of Call]],"DDDD")</f>
        <v>الجمعة</v>
      </c>
      <c r="N326" t="str" cm="1">
        <f t="array" ref="N326">_xlfn.IFS(calls[[#This Row],[Duration]]&lt;=10,"Under 10 mins", calls[[#This Row],[Duration]]&lt;=30, "10 to 30 mins", calls[[#This Row],[Duration]]&lt;=60, "30 to 60 mins", calls[[#This Row],[Duration]]&lt;=120, "1 to 2 hours", TRUE, "More than 2 hours")</f>
        <v>More than 2 hours</v>
      </c>
      <c r="O326">
        <f>ROUND(calls[[#This Row],[Satisfaction Rating]],0)</f>
        <v>4</v>
      </c>
    </row>
    <row r="327" spans="2:15" x14ac:dyDescent="0.25">
      <c r="B327" t="s">
        <v>348</v>
      </c>
      <c r="C327" t="s">
        <v>14</v>
      </c>
      <c r="D327">
        <f>VLOOKUP(C327,customers[],3,0)</f>
        <v>22</v>
      </c>
      <c r="E327" t="str">
        <f>VLOOKUP(C327,customers[],2,0)</f>
        <v>Female</v>
      </c>
      <c r="F327" t="str">
        <f>VLOOKUP(C327,customers[],4,0)</f>
        <v>Cleveland</v>
      </c>
      <c r="G327">
        <v>36</v>
      </c>
      <c r="H327" s="17" t="s">
        <v>8</v>
      </c>
      <c r="I327" s="18">
        <v>45023</v>
      </c>
      <c r="J327">
        <v>135</v>
      </c>
      <c r="K327">
        <v>4.5999999999999996</v>
      </c>
      <c r="L327">
        <f>IF(MONTH(calls[[#This Row],[Date of Call]])&lt;=6, YEAR(calls[[#This Row],[Date of Call]]), YEAR(calls[[#This Row],[Date of Call]])+1)</f>
        <v>2023</v>
      </c>
      <c r="M327" t="str">
        <f>TEXT(calls[[#This Row],[Date of Call]],"DDDD")</f>
        <v>الجمعة</v>
      </c>
      <c r="N327" t="str" cm="1">
        <f t="array" ref="N327">_xlfn.IFS(calls[[#This Row],[Duration]]&lt;=10,"Under 10 mins", calls[[#This Row],[Duration]]&lt;=30, "10 to 30 mins", calls[[#This Row],[Duration]]&lt;=60, "30 to 60 mins", calls[[#This Row],[Duration]]&lt;=120, "1 to 2 hours", TRUE, "More than 2 hours")</f>
        <v>30 to 60 mins</v>
      </c>
      <c r="O327">
        <f>ROUND(calls[[#This Row],[Satisfaction Rating]],0)</f>
        <v>5</v>
      </c>
    </row>
    <row r="328" spans="2:15" x14ac:dyDescent="0.25">
      <c r="B328" t="s">
        <v>349</v>
      </c>
      <c r="C328" t="s">
        <v>18</v>
      </c>
      <c r="D328">
        <f>VLOOKUP(C328,customers[],3,0)</f>
        <v>43</v>
      </c>
      <c r="E328" t="str">
        <f>VLOOKUP(C328,customers[],2,0)</f>
        <v>Female</v>
      </c>
      <c r="F328" t="str">
        <f>VLOOKUP(C328,customers[],4,0)</f>
        <v>Cleveland</v>
      </c>
      <c r="G328">
        <v>74</v>
      </c>
      <c r="H328" s="17" t="s">
        <v>8</v>
      </c>
      <c r="I328" s="18">
        <v>45023</v>
      </c>
      <c r="J328">
        <v>30</v>
      </c>
      <c r="K328">
        <v>4</v>
      </c>
      <c r="L328">
        <f>IF(MONTH(calls[[#This Row],[Date of Call]])&lt;=6, YEAR(calls[[#This Row],[Date of Call]]), YEAR(calls[[#This Row],[Date of Call]])+1)</f>
        <v>2023</v>
      </c>
      <c r="M328" t="str">
        <f>TEXT(calls[[#This Row],[Date of Call]],"DDDD")</f>
        <v>الجمعة</v>
      </c>
      <c r="N328" t="str" cm="1">
        <f t="array" ref="N328">_xlfn.IFS(calls[[#This Row],[Duration]]&lt;=10,"Under 10 mins", calls[[#This Row],[Duration]]&lt;=30, "10 to 30 mins", calls[[#This Row],[Duration]]&lt;=60, "30 to 60 mins", calls[[#This Row],[Duration]]&lt;=120, "1 to 2 hours", TRUE, "More than 2 hours")</f>
        <v>1 to 2 hours</v>
      </c>
      <c r="O328">
        <f>ROUND(calls[[#This Row],[Satisfaction Rating]],0)</f>
        <v>4</v>
      </c>
    </row>
    <row r="329" spans="2:15" x14ac:dyDescent="0.25">
      <c r="B329" t="s">
        <v>350</v>
      </c>
      <c r="C329" t="s">
        <v>11</v>
      </c>
      <c r="D329">
        <f>VLOOKUP(C329,customers[],3,0)</f>
        <v>36</v>
      </c>
      <c r="E329" t="str">
        <f>VLOOKUP(C329,customers[],2,0)</f>
        <v>Male</v>
      </c>
      <c r="F329" t="str">
        <f>VLOOKUP(C329,customers[],4,0)</f>
        <v>Cincinnati</v>
      </c>
      <c r="G329">
        <v>75</v>
      </c>
      <c r="H329" s="17" t="s">
        <v>8</v>
      </c>
      <c r="I329" s="18">
        <v>45023</v>
      </c>
      <c r="J329">
        <v>84</v>
      </c>
      <c r="K329">
        <v>2.8</v>
      </c>
      <c r="L329">
        <f>IF(MONTH(calls[[#This Row],[Date of Call]])&lt;=6, YEAR(calls[[#This Row],[Date of Call]]), YEAR(calls[[#This Row],[Date of Call]])+1)</f>
        <v>2023</v>
      </c>
      <c r="M329" t="str">
        <f>TEXT(calls[[#This Row],[Date of Call]],"DDDD")</f>
        <v>الجمعة</v>
      </c>
      <c r="N329" t="str" cm="1">
        <f t="array" ref="N329">_xlfn.IFS(calls[[#This Row],[Duration]]&lt;=10,"Under 10 mins", calls[[#This Row],[Duration]]&lt;=30, "10 to 30 mins", calls[[#This Row],[Duration]]&lt;=60, "30 to 60 mins", calls[[#This Row],[Duration]]&lt;=120, "1 to 2 hours", TRUE, "More than 2 hours")</f>
        <v>1 to 2 hours</v>
      </c>
      <c r="O329">
        <f>ROUND(calls[[#This Row],[Satisfaction Rating]],0)</f>
        <v>3</v>
      </c>
    </row>
    <row r="330" spans="2:15" x14ac:dyDescent="0.25">
      <c r="B330" t="s">
        <v>351</v>
      </c>
      <c r="C330" t="s">
        <v>4</v>
      </c>
      <c r="D330">
        <f>VLOOKUP(C330,customers[],3,0)</f>
        <v>42</v>
      </c>
      <c r="E330" t="str">
        <f>VLOOKUP(C330,customers[],2,0)</f>
        <v>Female</v>
      </c>
      <c r="F330" t="str">
        <f>VLOOKUP(C330,customers[],4,0)</f>
        <v>Cleveland</v>
      </c>
      <c r="G330">
        <v>70</v>
      </c>
      <c r="H330" s="17" t="s">
        <v>12</v>
      </c>
      <c r="I330" s="18">
        <v>45023</v>
      </c>
      <c r="J330">
        <v>42</v>
      </c>
      <c r="K330">
        <v>4.4000000000000004</v>
      </c>
      <c r="L330">
        <f>IF(MONTH(calls[[#This Row],[Date of Call]])&lt;=6, YEAR(calls[[#This Row],[Date of Call]]), YEAR(calls[[#This Row],[Date of Call]])+1)</f>
        <v>2023</v>
      </c>
      <c r="M330" t="str">
        <f>TEXT(calls[[#This Row],[Date of Call]],"DDDD")</f>
        <v>الجمعة</v>
      </c>
      <c r="N330" t="str" cm="1">
        <f t="array" ref="N330">_xlfn.IFS(calls[[#This Row],[Duration]]&lt;=10,"Under 10 mins", calls[[#This Row],[Duration]]&lt;=30, "10 to 30 mins", calls[[#This Row],[Duration]]&lt;=60, "30 to 60 mins", calls[[#This Row],[Duration]]&lt;=120, "1 to 2 hours", TRUE, "More than 2 hours")</f>
        <v>1 to 2 hours</v>
      </c>
      <c r="O330">
        <f>ROUND(calls[[#This Row],[Satisfaction Rating]],0)</f>
        <v>4</v>
      </c>
    </row>
    <row r="331" spans="2:15" x14ac:dyDescent="0.25">
      <c r="B331" t="s">
        <v>352</v>
      </c>
      <c r="C331" t="s">
        <v>21</v>
      </c>
      <c r="D331">
        <f>VLOOKUP(C331,customers[],3,0)</f>
        <v>25</v>
      </c>
      <c r="E331" t="str">
        <f>VLOOKUP(C331,customers[],2,0)</f>
        <v>Female</v>
      </c>
      <c r="F331" t="str">
        <f>VLOOKUP(C331,customers[],4,0)</f>
        <v>Columbus</v>
      </c>
      <c r="G331">
        <v>23</v>
      </c>
      <c r="H331" s="17" t="s">
        <v>5</v>
      </c>
      <c r="I331" s="18">
        <v>45023</v>
      </c>
      <c r="J331">
        <v>117</v>
      </c>
      <c r="K331">
        <v>2.4</v>
      </c>
      <c r="L331">
        <f>IF(MONTH(calls[[#This Row],[Date of Call]])&lt;=6, YEAR(calls[[#This Row],[Date of Call]]), YEAR(calls[[#This Row],[Date of Call]])+1)</f>
        <v>2023</v>
      </c>
      <c r="M331" t="str">
        <f>TEXT(calls[[#This Row],[Date of Call]],"DDDD")</f>
        <v>الجمعة</v>
      </c>
      <c r="N331" t="str" cm="1">
        <f t="array" ref="N331">_xlfn.IFS(calls[[#This Row],[Duration]]&lt;=10,"Under 10 mins", calls[[#This Row],[Duration]]&lt;=30, "10 to 30 mins", calls[[#This Row],[Duration]]&lt;=60, "30 to 60 mins", calls[[#This Row],[Duration]]&lt;=120, "1 to 2 hours", TRUE, "More than 2 hours")</f>
        <v>10 to 30 mins</v>
      </c>
      <c r="O331">
        <f>ROUND(calls[[#This Row],[Satisfaction Rating]],0)</f>
        <v>2</v>
      </c>
    </row>
    <row r="332" spans="2:15" x14ac:dyDescent="0.25">
      <c r="B332" t="s">
        <v>353</v>
      </c>
      <c r="C332" t="s">
        <v>17</v>
      </c>
      <c r="D332">
        <f>VLOOKUP(C332,customers[],3,0)</f>
        <v>30</v>
      </c>
      <c r="E332" t="str">
        <f>VLOOKUP(C332,customers[],2,0)</f>
        <v>Female</v>
      </c>
      <c r="F332" t="str">
        <f>VLOOKUP(C332,customers[],4,0)</f>
        <v>Cleveland</v>
      </c>
      <c r="G332">
        <v>104</v>
      </c>
      <c r="H332" s="17" t="s">
        <v>10</v>
      </c>
      <c r="I332" s="18">
        <v>45023</v>
      </c>
      <c r="J332">
        <v>164</v>
      </c>
      <c r="K332">
        <v>4</v>
      </c>
      <c r="L332">
        <f>IF(MONTH(calls[[#This Row],[Date of Call]])&lt;=6, YEAR(calls[[#This Row],[Date of Call]]), YEAR(calls[[#This Row],[Date of Call]])+1)</f>
        <v>2023</v>
      </c>
      <c r="M332" t="str">
        <f>TEXT(calls[[#This Row],[Date of Call]],"DDDD")</f>
        <v>الجمعة</v>
      </c>
      <c r="N332" t="str" cm="1">
        <f t="array" ref="N332">_xlfn.IFS(calls[[#This Row],[Duration]]&lt;=10,"Under 10 mins", calls[[#This Row],[Duration]]&lt;=30, "10 to 30 mins", calls[[#This Row],[Duration]]&lt;=60, "30 to 60 mins", calls[[#This Row],[Duration]]&lt;=120, "1 to 2 hours", TRUE, "More than 2 hours")</f>
        <v>1 to 2 hours</v>
      </c>
      <c r="O332">
        <f>ROUND(calls[[#This Row],[Satisfaction Rating]],0)</f>
        <v>4</v>
      </c>
    </row>
    <row r="333" spans="2:15" x14ac:dyDescent="0.25">
      <c r="B333" t="s">
        <v>354</v>
      </c>
      <c r="C333" t="s">
        <v>16</v>
      </c>
      <c r="D333">
        <f>VLOOKUP(C333,customers[],3,0)</f>
        <v>41</v>
      </c>
      <c r="E333" t="str">
        <f>VLOOKUP(C333,customers[],2,0)</f>
        <v>Male</v>
      </c>
      <c r="F333" t="str">
        <f>VLOOKUP(C333,customers[],4,0)</f>
        <v>Columbus</v>
      </c>
      <c r="G333">
        <v>95</v>
      </c>
      <c r="H333" s="17" t="s">
        <v>12</v>
      </c>
      <c r="I333" s="18">
        <v>45024</v>
      </c>
      <c r="J333">
        <v>123</v>
      </c>
      <c r="K333">
        <v>4.4000000000000004</v>
      </c>
      <c r="L333">
        <f>IF(MONTH(calls[[#This Row],[Date of Call]])&lt;=6, YEAR(calls[[#This Row],[Date of Call]]), YEAR(calls[[#This Row],[Date of Call]])+1)</f>
        <v>2023</v>
      </c>
      <c r="M333" t="str">
        <f>TEXT(calls[[#This Row],[Date of Call]],"DDDD")</f>
        <v>السبت</v>
      </c>
      <c r="N333" t="str" cm="1">
        <f t="array" ref="N333">_xlfn.IFS(calls[[#This Row],[Duration]]&lt;=10,"Under 10 mins", calls[[#This Row],[Duration]]&lt;=30, "10 to 30 mins", calls[[#This Row],[Duration]]&lt;=60, "30 to 60 mins", calls[[#This Row],[Duration]]&lt;=120, "1 to 2 hours", TRUE, "More than 2 hours")</f>
        <v>1 to 2 hours</v>
      </c>
      <c r="O333">
        <f>ROUND(calls[[#This Row],[Satisfaction Rating]],0)</f>
        <v>4</v>
      </c>
    </row>
    <row r="334" spans="2:15" x14ac:dyDescent="0.25">
      <c r="B334" t="s">
        <v>355</v>
      </c>
      <c r="C334" t="s">
        <v>7</v>
      </c>
      <c r="D334">
        <f>VLOOKUP(C334,customers[],3,0)</f>
        <v>30</v>
      </c>
      <c r="E334" t="str">
        <f>VLOOKUP(C334,customers[],2,0)</f>
        <v>Female</v>
      </c>
      <c r="F334" t="str">
        <f>VLOOKUP(C334,customers[],4,0)</f>
        <v>Cincinnati</v>
      </c>
      <c r="G334">
        <v>49</v>
      </c>
      <c r="H334" s="17" t="s">
        <v>9</v>
      </c>
      <c r="I334" s="18">
        <v>45024</v>
      </c>
      <c r="J334">
        <v>172</v>
      </c>
      <c r="K334">
        <v>2.9</v>
      </c>
      <c r="L334">
        <f>IF(MONTH(calls[[#This Row],[Date of Call]])&lt;=6, YEAR(calls[[#This Row],[Date of Call]]), YEAR(calls[[#This Row],[Date of Call]])+1)</f>
        <v>2023</v>
      </c>
      <c r="M334" t="str">
        <f>TEXT(calls[[#This Row],[Date of Call]],"DDDD")</f>
        <v>السبت</v>
      </c>
      <c r="N334" t="str" cm="1">
        <f t="array" ref="N334">_xlfn.IFS(calls[[#This Row],[Duration]]&lt;=10,"Under 10 mins", calls[[#This Row],[Duration]]&lt;=30, "10 to 30 mins", calls[[#This Row],[Duration]]&lt;=60, "30 to 60 mins", calls[[#This Row],[Duration]]&lt;=120, "1 to 2 hours", TRUE, "More than 2 hours")</f>
        <v>30 to 60 mins</v>
      </c>
      <c r="O334">
        <f>ROUND(calls[[#This Row],[Satisfaction Rating]],0)</f>
        <v>3</v>
      </c>
    </row>
    <row r="335" spans="2:15" x14ac:dyDescent="0.25">
      <c r="B335" t="s">
        <v>356</v>
      </c>
      <c r="C335" t="s">
        <v>15</v>
      </c>
      <c r="D335">
        <f>VLOOKUP(C335,customers[],3,0)</f>
        <v>28</v>
      </c>
      <c r="E335" t="str">
        <f>VLOOKUP(C335,customers[],2,0)</f>
        <v>Female</v>
      </c>
      <c r="F335" t="str">
        <f>VLOOKUP(C335,customers[],4,0)</f>
        <v>Cincinnati</v>
      </c>
      <c r="G335">
        <v>8</v>
      </c>
      <c r="H335" s="17" t="s">
        <v>5</v>
      </c>
      <c r="I335" s="18">
        <v>45024</v>
      </c>
      <c r="J335">
        <v>20</v>
      </c>
      <c r="K335">
        <v>4.8</v>
      </c>
      <c r="L335">
        <f>IF(MONTH(calls[[#This Row],[Date of Call]])&lt;=6, YEAR(calls[[#This Row],[Date of Call]]), YEAR(calls[[#This Row],[Date of Call]])+1)</f>
        <v>2023</v>
      </c>
      <c r="M335" t="str">
        <f>TEXT(calls[[#This Row],[Date of Call]],"DDDD")</f>
        <v>السبت</v>
      </c>
      <c r="N335" t="str" cm="1">
        <f t="array" ref="N335">_xlfn.IFS(calls[[#This Row],[Duration]]&lt;=10,"Under 10 mins", calls[[#This Row],[Duration]]&lt;=30, "10 to 30 mins", calls[[#This Row],[Duration]]&lt;=60, "30 to 60 mins", calls[[#This Row],[Duration]]&lt;=120, "1 to 2 hours", TRUE, "More than 2 hours")</f>
        <v>Under 10 mins</v>
      </c>
      <c r="O335">
        <f>ROUND(calls[[#This Row],[Satisfaction Rating]],0)</f>
        <v>5</v>
      </c>
    </row>
    <row r="336" spans="2:15" x14ac:dyDescent="0.25">
      <c r="B336" t="s">
        <v>357</v>
      </c>
      <c r="C336" t="s">
        <v>16</v>
      </c>
      <c r="D336">
        <f>VLOOKUP(C336,customers[],3,0)</f>
        <v>41</v>
      </c>
      <c r="E336" t="str">
        <f>VLOOKUP(C336,customers[],2,0)</f>
        <v>Male</v>
      </c>
      <c r="F336" t="str">
        <f>VLOOKUP(C336,customers[],4,0)</f>
        <v>Columbus</v>
      </c>
      <c r="G336">
        <v>157</v>
      </c>
      <c r="H336" s="17" t="s">
        <v>9</v>
      </c>
      <c r="I336" s="18">
        <v>45024</v>
      </c>
      <c r="J336">
        <v>72</v>
      </c>
      <c r="K336">
        <v>3.7</v>
      </c>
      <c r="L336">
        <f>IF(MONTH(calls[[#This Row],[Date of Call]])&lt;=6, YEAR(calls[[#This Row],[Date of Call]]), YEAR(calls[[#This Row],[Date of Call]])+1)</f>
        <v>2023</v>
      </c>
      <c r="M336" t="str">
        <f>TEXT(calls[[#This Row],[Date of Call]],"DDDD")</f>
        <v>السبت</v>
      </c>
      <c r="N336" t="str" cm="1">
        <f t="array" ref="N336">_xlfn.IFS(calls[[#This Row],[Duration]]&lt;=10,"Under 10 mins", calls[[#This Row],[Duration]]&lt;=30, "10 to 30 mins", calls[[#This Row],[Duration]]&lt;=60, "30 to 60 mins", calls[[#This Row],[Duration]]&lt;=120, "1 to 2 hours", TRUE, "More than 2 hours")</f>
        <v>More than 2 hours</v>
      </c>
      <c r="O336">
        <f>ROUND(calls[[#This Row],[Satisfaction Rating]],0)</f>
        <v>4</v>
      </c>
    </row>
    <row r="337" spans="2:15" x14ac:dyDescent="0.25">
      <c r="B337" t="s">
        <v>358</v>
      </c>
      <c r="C337" t="s">
        <v>22</v>
      </c>
      <c r="D337">
        <f>VLOOKUP(C337,customers[],3,0)</f>
        <v>37</v>
      </c>
      <c r="E337" t="str">
        <f>VLOOKUP(C337,customers[],2,0)</f>
        <v>Male</v>
      </c>
      <c r="F337" t="str">
        <f>VLOOKUP(C337,customers[],4,0)</f>
        <v>Columbus</v>
      </c>
      <c r="G337">
        <v>74</v>
      </c>
      <c r="H337" s="17" t="s">
        <v>8</v>
      </c>
      <c r="I337" s="18">
        <v>45024</v>
      </c>
      <c r="J337">
        <v>32</v>
      </c>
      <c r="K337">
        <v>4.8</v>
      </c>
      <c r="L337">
        <f>IF(MONTH(calls[[#This Row],[Date of Call]])&lt;=6, YEAR(calls[[#This Row],[Date of Call]]), YEAR(calls[[#This Row],[Date of Call]])+1)</f>
        <v>2023</v>
      </c>
      <c r="M337" t="str">
        <f>TEXT(calls[[#This Row],[Date of Call]],"DDDD")</f>
        <v>السبت</v>
      </c>
      <c r="N337" t="str" cm="1">
        <f t="array" ref="N337">_xlfn.IFS(calls[[#This Row],[Duration]]&lt;=10,"Under 10 mins", calls[[#This Row],[Duration]]&lt;=30, "10 to 30 mins", calls[[#This Row],[Duration]]&lt;=60, "30 to 60 mins", calls[[#This Row],[Duration]]&lt;=120, "1 to 2 hours", TRUE, "More than 2 hours")</f>
        <v>1 to 2 hours</v>
      </c>
      <c r="O337">
        <f>ROUND(calls[[#This Row],[Satisfaction Rating]],0)</f>
        <v>5</v>
      </c>
    </row>
    <row r="338" spans="2:15" x14ac:dyDescent="0.25">
      <c r="B338" t="s">
        <v>359</v>
      </c>
      <c r="C338" t="s">
        <v>21</v>
      </c>
      <c r="D338">
        <f>VLOOKUP(C338,customers[],3,0)</f>
        <v>25</v>
      </c>
      <c r="E338" t="str">
        <f>VLOOKUP(C338,customers[],2,0)</f>
        <v>Female</v>
      </c>
      <c r="F338" t="str">
        <f>VLOOKUP(C338,customers[],4,0)</f>
        <v>Columbus</v>
      </c>
      <c r="G338">
        <v>72</v>
      </c>
      <c r="H338" s="17" t="s">
        <v>12</v>
      </c>
      <c r="I338" s="18">
        <v>45024</v>
      </c>
      <c r="J338">
        <v>140</v>
      </c>
      <c r="K338">
        <v>3.2</v>
      </c>
      <c r="L338">
        <f>IF(MONTH(calls[[#This Row],[Date of Call]])&lt;=6, YEAR(calls[[#This Row],[Date of Call]]), YEAR(calls[[#This Row],[Date of Call]])+1)</f>
        <v>2023</v>
      </c>
      <c r="M338" t="str">
        <f>TEXT(calls[[#This Row],[Date of Call]],"DDDD")</f>
        <v>السبت</v>
      </c>
      <c r="N338" t="str" cm="1">
        <f t="array" ref="N338">_xlfn.IFS(calls[[#This Row],[Duration]]&lt;=10,"Under 10 mins", calls[[#This Row],[Duration]]&lt;=30, "10 to 30 mins", calls[[#This Row],[Duration]]&lt;=60, "30 to 60 mins", calls[[#This Row],[Duration]]&lt;=120, "1 to 2 hours", TRUE, "More than 2 hours")</f>
        <v>1 to 2 hours</v>
      </c>
      <c r="O338">
        <f>ROUND(calls[[#This Row],[Satisfaction Rating]],0)</f>
        <v>3</v>
      </c>
    </row>
    <row r="339" spans="2:15" x14ac:dyDescent="0.25">
      <c r="B339" t="s">
        <v>360</v>
      </c>
      <c r="C339" t="s">
        <v>22</v>
      </c>
      <c r="D339">
        <f>VLOOKUP(C339,customers[],3,0)</f>
        <v>37</v>
      </c>
      <c r="E339" t="str">
        <f>VLOOKUP(C339,customers[],2,0)</f>
        <v>Male</v>
      </c>
      <c r="F339" t="str">
        <f>VLOOKUP(C339,customers[],4,0)</f>
        <v>Columbus</v>
      </c>
      <c r="G339">
        <v>79</v>
      </c>
      <c r="H339" s="17" t="s">
        <v>8</v>
      </c>
      <c r="I339" s="18">
        <v>45025</v>
      </c>
      <c r="J339">
        <v>120</v>
      </c>
      <c r="K339">
        <v>4.9000000000000004</v>
      </c>
      <c r="L339">
        <f>IF(MONTH(calls[[#This Row],[Date of Call]])&lt;=6, YEAR(calls[[#This Row],[Date of Call]]), YEAR(calls[[#This Row],[Date of Call]])+1)</f>
        <v>2023</v>
      </c>
      <c r="M339" t="str">
        <f>TEXT(calls[[#This Row],[Date of Call]],"DDDD")</f>
        <v>الأحد</v>
      </c>
      <c r="N339" t="str" cm="1">
        <f t="array" ref="N339">_xlfn.IFS(calls[[#This Row],[Duration]]&lt;=10,"Under 10 mins", calls[[#This Row],[Duration]]&lt;=30, "10 to 30 mins", calls[[#This Row],[Duration]]&lt;=60, "30 to 60 mins", calls[[#This Row],[Duration]]&lt;=120, "1 to 2 hours", TRUE, "More than 2 hours")</f>
        <v>1 to 2 hours</v>
      </c>
      <c r="O339">
        <f>ROUND(calls[[#This Row],[Satisfaction Rating]],0)</f>
        <v>5</v>
      </c>
    </row>
    <row r="340" spans="2:15" x14ac:dyDescent="0.25">
      <c r="B340" t="s">
        <v>361</v>
      </c>
      <c r="C340" t="s">
        <v>18</v>
      </c>
      <c r="D340">
        <f>VLOOKUP(C340,customers[],3,0)</f>
        <v>43</v>
      </c>
      <c r="E340" t="str">
        <f>VLOOKUP(C340,customers[],2,0)</f>
        <v>Female</v>
      </c>
      <c r="F340" t="str">
        <f>VLOOKUP(C340,customers[],4,0)</f>
        <v>Cleveland</v>
      </c>
      <c r="G340">
        <v>23</v>
      </c>
      <c r="H340" s="17" t="s">
        <v>8</v>
      </c>
      <c r="I340" s="18">
        <v>45025</v>
      </c>
      <c r="J340">
        <v>86</v>
      </c>
      <c r="K340">
        <v>2.2000000000000002</v>
      </c>
      <c r="L340">
        <f>IF(MONTH(calls[[#This Row],[Date of Call]])&lt;=6, YEAR(calls[[#This Row],[Date of Call]]), YEAR(calls[[#This Row],[Date of Call]])+1)</f>
        <v>2023</v>
      </c>
      <c r="M340" t="str">
        <f>TEXT(calls[[#This Row],[Date of Call]],"DDDD")</f>
        <v>الأحد</v>
      </c>
      <c r="N340" t="str" cm="1">
        <f t="array" ref="N340">_xlfn.IFS(calls[[#This Row],[Duration]]&lt;=10,"Under 10 mins", calls[[#This Row],[Duration]]&lt;=30, "10 to 30 mins", calls[[#This Row],[Duration]]&lt;=60, "30 to 60 mins", calls[[#This Row],[Duration]]&lt;=120, "1 to 2 hours", TRUE, "More than 2 hours")</f>
        <v>10 to 30 mins</v>
      </c>
      <c r="O340">
        <f>ROUND(calls[[#This Row],[Satisfaction Rating]],0)</f>
        <v>2</v>
      </c>
    </row>
    <row r="341" spans="2:15" x14ac:dyDescent="0.25">
      <c r="B341" t="s">
        <v>362</v>
      </c>
      <c r="C341" t="s">
        <v>11</v>
      </c>
      <c r="D341">
        <f>VLOOKUP(C341,customers[],3,0)</f>
        <v>36</v>
      </c>
      <c r="E341" t="str">
        <f>VLOOKUP(C341,customers[],2,0)</f>
        <v>Male</v>
      </c>
      <c r="F341" t="str">
        <f>VLOOKUP(C341,customers[],4,0)</f>
        <v>Cincinnati</v>
      </c>
      <c r="G341">
        <v>69</v>
      </c>
      <c r="H341" s="17" t="s">
        <v>8</v>
      </c>
      <c r="I341" s="18">
        <v>45025</v>
      </c>
      <c r="J341">
        <v>132</v>
      </c>
      <c r="K341">
        <v>5</v>
      </c>
      <c r="L341">
        <f>IF(MONTH(calls[[#This Row],[Date of Call]])&lt;=6, YEAR(calls[[#This Row],[Date of Call]]), YEAR(calls[[#This Row],[Date of Call]])+1)</f>
        <v>2023</v>
      </c>
      <c r="M341" t="str">
        <f>TEXT(calls[[#This Row],[Date of Call]],"DDDD")</f>
        <v>الأحد</v>
      </c>
      <c r="N341" t="str" cm="1">
        <f t="array" ref="N341">_xlfn.IFS(calls[[#This Row],[Duration]]&lt;=10,"Under 10 mins", calls[[#This Row],[Duration]]&lt;=30, "10 to 30 mins", calls[[#This Row],[Duration]]&lt;=60, "30 to 60 mins", calls[[#This Row],[Duration]]&lt;=120, "1 to 2 hours", TRUE, "More than 2 hours")</f>
        <v>1 to 2 hours</v>
      </c>
      <c r="O341">
        <f>ROUND(calls[[#This Row],[Satisfaction Rating]],0)</f>
        <v>5</v>
      </c>
    </row>
    <row r="342" spans="2:15" x14ac:dyDescent="0.25">
      <c r="B342" t="s">
        <v>363</v>
      </c>
      <c r="C342" t="s">
        <v>6</v>
      </c>
      <c r="D342">
        <f>VLOOKUP(C342,customers[],3,0)</f>
        <v>23</v>
      </c>
      <c r="E342" t="str">
        <f>VLOOKUP(C342,customers[],2,0)</f>
        <v>Male</v>
      </c>
      <c r="F342" t="str">
        <f>VLOOKUP(C342,customers[],4,0)</f>
        <v>Columbus</v>
      </c>
      <c r="G342">
        <v>64</v>
      </c>
      <c r="H342" s="17" t="s">
        <v>8</v>
      </c>
      <c r="I342" s="18">
        <v>45025</v>
      </c>
      <c r="J342">
        <v>80</v>
      </c>
      <c r="K342">
        <v>3.3</v>
      </c>
      <c r="L342">
        <f>IF(MONTH(calls[[#This Row],[Date of Call]])&lt;=6, YEAR(calls[[#This Row],[Date of Call]]), YEAR(calls[[#This Row],[Date of Call]])+1)</f>
        <v>2023</v>
      </c>
      <c r="M342" t="str">
        <f>TEXT(calls[[#This Row],[Date of Call]],"DDDD")</f>
        <v>الأحد</v>
      </c>
      <c r="N342" t="str" cm="1">
        <f t="array" ref="N342">_xlfn.IFS(calls[[#This Row],[Duration]]&lt;=10,"Under 10 mins", calls[[#This Row],[Duration]]&lt;=30, "10 to 30 mins", calls[[#This Row],[Duration]]&lt;=60, "30 to 60 mins", calls[[#This Row],[Duration]]&lt;=120, "1 to 2 hours", TRUE, "More than 2 hours")</f>
        <v>1 to 2 hours</v>
      </c>
      <c r="O342">
        <f>ROUND(calls[[#This Row],[Satisfaction Rating]],0)</f>
        <v>3</v>
      </c>
    </row>
    <row r="343" spans="2:15" x14ac:dyDescent="0.25">
      <c r="B343" t="s">
        <v>364</v>
      </c>
      <c r="C343" t="s">
        <v>23</v>
      </c>
      <c r="D343">
        <f>VLOOKUP(C343,customers[],3,0)</f>
        <v>31</v>
      </c>
      <c r="E343" t="str">
        <f>VLOOKUP(C343,customers[],2,0)</f>
        <v>Male</v>
      </c>
      <c r="F343" t="str">
        <f>VLOOKUP(C343,customers[],4,0)</f>
        <v>Cleveland</v>
      </c>
      <c r="G343">
        <v>47</v>
      </c>
      <c r="H343" s="17" t="s">
        <v>9</v>
      </c>
      <c r="I343" s="18">
        <v>45025</v>
      </c>
      <c r="J343">
        <v>132</v>
      </c>
      <c r="K343">
        <v>3.7</v>
      </c>
      <c r="L343">
        <f>IF(MONTH(calls[[#This Row],[Date of Call]])&lt;=6, YEAR(calls[[#This Row],[Date of Call]]), YEAR(calls[[#This Row],[Date of Call]])+1)</f>
        <v>2023</v>
      </c>
      <c r="M343" t="str">
        <f>TEXT(calls[[#This Row],[Date of Call]],"DDDD")</f>
        <v>الأحد</v>
      </c>
      <c r="N343" t="str" cm="1">
        <f t="array" ref="N343">_xlfn.IFS(calls[[#This Row],[Duration]]&lt;=10,"Under 10 mins", calls[[#This Row],[Duration]]&lt;=30, "10 to 30 mins", calls[[#This Row],[Duration]]&lt;=60, "30 to 60 mins", calls[[#This Row],[Duration]]&lt;=120, "1 to 2 hours", TRUE, "More than 2 hours")</f>
        <v>30 to 60 mins</v>
      </c>
      <c r="O343">
        <f>ROUND(calls[[#This Row],[Satisfaction Rating]],0)</f>
        <v>4</v>
      </c>
    </row>
    <row r="344" spans="2:15" x14ac:dyDescent="0.25">
      <c r="B344" t="s">
        <v>365</v>
      </c>
      <c r="C344" t="s">
        <v>22</v>
      </c>
      <c r="D344">
        <f>VLOOKUP(C344,customers[],3,0)</f>
        <v>37</v>
      </c>
      <c r="E344" t="str">
        <f>VLOOKUP(C344,customers[],2,0)</f>
        <v>Male</v>
      </c>
      <c r="F344" t="str">
        <f>VLOOKUP(C344,customers[],4,0)</f>
        <v>Columbus</v>
      </c>
      <c r="G344">
        <v>55</v>
      </c>
      <c r="H344" s="17" t="s">
        <v>12</v>
      </c>
      <c r="I344" s="18">
        <v>45025</v>
      </c>
      <c r="J344">
        <v>27</v>
      </c>
      <c r="K344">
        <v>3.7</v>
      </c>
      <c r="L344">
        <f>IF(MONTH(calls[[#This Row],[Date of Call]])&lt;=6, YEAR(calls[[#This Row],[Date of Call]]), YEAR(calls[[#This Row],[Date of Call]])+1)</f>
        <v>2023</v>
      </c>
      <c r="M344" t="str">
        <f>TEXT(calls[[#This Row],[Date of Call]],"DDDD")</f>
        <v>الأحد</v>
      </c>
      <c r="N344" t="str" cm="1">
        <f t="array" ref="N344">_xlfn.IFS(calls[[#This Row],[Duration]]&lt;=10,"Under 10 mins", calls[[#This Row],[Duration]]&lt;=30, "10 to 30 mins", calls[[#This Row],[Duration]]&lt;=60, "30 to 60 mins", calls[[#This Row],[Duration]]&lt;=120, "1 to 2 hours", TRUE, "More than 2 hours")</f>
        <v>30 to 60 mins</v>
      </c>
      <c r="O344">
        <f>ROUND(calls[[#This Row],[Satisfaction Rating]],0)</f>
        <v>4</v>
      </c>
    </row>
    <row r="345" spans="2:15" x14ac:dyDescent="0.25">
      <c r="B345" t="s">
        <v>366</v>
      </c>
      <c r="C345" t="s">
        <v>17</v>
      </c>
      <c r="D345">
        <f>VLOOKUP(C345,customers[],3,0)</f>
        <v>30</v>
      </c>
      <c r="E345" t="str">
        <f>VLOOKUP(C345,customers[],2,0)</f>
        <v>Female</v>
      </c>
      <c r="F345" t="str">
        <f>VLOOKUP(C345,customers[],4,0)</f>
        <v>Cleveland</v>
      </c>
      <c r="G345">
        <v>104</v>
      </c>
      <c r="H345" s="17" t="s">
        <v>12</v>
      </c>
      <c r="I345" s="18">
        <v>45026</v>
      </c>
      <c r="J345">
        <v>68</v>
      </c>
      <c r="K345">
        <v>3.6</v>
      </c>
      <c r="L345">
        <f>IF(MONTH(calls[[#This Row],[Date of Call]])&lt;=6, YEAR(calls[[#This Row],[Date of Call]]), YEAR(calls[[#This Row],[Date of Call]])+1)</f>
        <v>2023</v>
      </c>
      <c r="M345" t="str">
        <f>TEXT(calls[[#This Row],[Date of Call]],"DDDD")</f>
        <v>الإثنين</v>
      </c>
      <c r="N345" t="str" cm="1">
        <f t="array" ref="N345">_xlfn.IFS(calls[[#This Row],[Duration]]&lt;=10,"Under 10 mins", calls[[#This Row],[Duration]]&lt;=30, "10 to 30 mins", calls[[#This Row],[Duration]]&lt;=60, "30 to 60 mins", calls[[#This Row],[Duration]]&lt;=120, "1 to 2 hours", TRUE, "More than 2 hours")</f>
        <v>1 to 2 hours</v>
      </c>
      <c r="O345">
        <f>ROUND(calls[[#This Row],[Satisfaction Rating]],0)</f>
        <v>4</v>
      </c>
    </row>
    <row r="346" spans="2:15" x14ac:dyDescent="0.25">
      <c r="B346" t="s">
        <v>367</v>
      </c>
      <c r="C346" t="s">
        <v>23</v>
      </c>
      <c r="D346">
        <f>VLOOKUP(C346,customers[],3,0)</f>
        <v>31</v>
      </c>
      <c r="E346" t="str">
        <f>VLOOKUP(C346,customers[],2,0)</f>
        <v>Male</v>
      </c>
      <c r="F346" t="str">
        <f>VLOOKUP(C346,customers[],4,0)</f>
        <v>Cleveland</v>
      </c>
      <c r="G346">
        <v>116</v>
      </c>
      <c r="H346" s="17" t="s">
        <v>8</v>
      </c>
      <c r="I346" s="18">
        <v>45026</v>
      </c>
      <c r="J346">
        <v>22</v>
      </c>
      <c r="K346">
        <v>4.7</v>
      </c>
      <c r="L346">
        <f>IF(MONTH(calls[[#This Row],[Date of Call]])&lt;=6, YEAR(calls[[#This Row],[Date of Call]]), YEAR(calls[[#This Row],[Date of Call]])+1)</f>
        <v>2023</v>
      </c>
      <c r="M346" t="str">
        <f>TEXT(calls[[#This Row],[Date of Call]],"DDDD")</f>
        <v>الإثنين</v>
      </c>
      <c r="N346" t="str" cm="1">
        <f t="array" ref="N346">_xlfn.IFS(calls[[#This Row],[Duration]]&lt;=10,"Under 10 mins", calls[[#This Row],[Duration]]&lt;=30, "10 to 30 mins", calls[[#This Row],[Duration]]&lt;=60, "30 to 60 mins", calls[[#This Row],[Duration]]&lt;=120, "1 to 2 hours", TRUE, "More than 2 hours")</f>
        <v>1 to 2 hours</v>
      </c>
      <c r="O346">
        <f>ROUND(calls[[#This Row],[Satisfaction Rating]],0)</f>
        <v>5</v>
      </c>
    </row>
    <row r="347" spans="2:15" x14ac:dyDescent="0.25">
      <c r="B347" t="s">
        <v>368</v>
      </c>
      <c r="C347" t="s">
        <v>18</v>
      </c>
      <c r="D347">
        <f>VLOOKUP(C347,customers[],3,0)</f>
        <v>43</v>
      </c>
      <c r="E347" t="str">
        <f>VLOOKUP(C347,customers[],2,0)</f>
        <v>Female</v>
      </c>
      <c r="F347" t="str">
        <f>VLOOKUP(C347,customers[],4,0)</f>
        <v>Cleveland</v>
      </c>
      <c r="G347">
        <v>99</v>
      </c>
      <c r="H347" s="17" t="s">
        <v>12</v>
      </c>
      <c r="I347" s="18">
        <v>45026</v>
      </c>
      <c r="J347">
        <v>42</v>
      </c>
      <c r="K347">
        <v>3.1</v>
      </c>
      <c r="L347">
        <f>IF(MONTH(calls[[#This Row],[Date of Call]])&lt;=6, YEAR(calls[[#This Row],[Date of Call]]), YEAR(calls[[#This Row],[Date of Call]])+1)</f>
        <v>2023</v>
      </c>
      <c r="M347" t="str">
        <f>TEXT(calls[[#This Row],[Date of Call]],"DDDD")</f>
        <v>الإثنين</v>
      </c>
      <c r="N347" t="str" cm="1">
        <f t="array" ref="N347">_xlfn.IFS(calls[[#This Row],[Duration]]&lt;=10,"Under 10 mins", calls[[#This Row],[Duration]]&lt;=30, "10 to 30 mins", calls[[#This Row],[Duration]]&lt;=60, "30 to 60 mins", calls[[#This Row],[Duration]]&lt;=120, "1 to 2 hours", TRUE, "More than 2 hours")</f>
        <v>1 to 2 hours</v>
      </c>
      <c r="O347">
        <f>ROUND(calls[[#This Row],[Satisfaction Rating]],0)</f>
        <v>3</v>
      </c>
    </row>
    <row r="348" spans="2:15" x14ac:dyDescent="0.25">
      <c r="B348" t="s">
        <v>369</v>
      </c>
      <c r="C348" t="s">
        <v>17</v>
      </c>
      <c r="D348">
        <f>VLOOKUP(C348,customers[],3,0)</f>
        <v>30</v>
      </c>
      <c r="E348" t="str">
        <f>VLOOKUP(C348,customers[],2,0)</f>
        <v>Female</v>
      </c>
      <c r="F348" t="str">
        <f>VLOOKUP(C348,customers[],4,0)</f>
        <v>Cleveland</v>
      </c>
      <c r="G348">
        <v>84</v>
      </c>
      <c r="H348" s="17" t="s">
        <v>12</v>
      </c>
      <c r="I348" s="18">
        <v>45027</v>
      </c>
      <c r="J348">
        <v>38</v>
      </c>
      <c r="K348">
        <v>3.3</v>
      </c>
      <c r="L348">
        <f>IF(MONTH(calls[[#This Row],[Date of Call]])&lt;=6, YEAR(calls[[#This Row],[Date of Call]]), YEAR(calls[[#This Row],[Date of Call]])+1)</f>
        <v>2023</v>
      </c>
      <c r="M348" t="str">
        <f>TEXT(calls[[#This Row],[Date of Call]],"DDDD")</f>
        <v>الثلاثاء</v>
      </c>
      <c r="N348" t="str" cm="1">
        <f t="array" ref="N348">_xlfn.IFS(calls[[#This Row],[Duration]]&lt;=10,"Under 10 mins", calls[[#This Row],[Duration]]&lt;=30, "10 to 30 mins", calls[[#This Row],[Duration]]&lt;=60, "30 to 60 mins", calls[[#This Row],[Duration]]&lt;=120, "1 to 2 hours", TRUE, "More than 2 hours")</f>
        <v>1 to 2 hours</v>
      </c>
      <c r="O348">
        <f>ROUND(calls[[#This Row],[Satisfaction Rating]],0)</f>
        <v>3</v>
      </c>
    </row>
    <row r="349" spans="2:15" x14ac:dyDescent="0.25">
      <c r="B349" t="s">
        <v>370</v>
      </c>
      <c r="C349" t="s">
        <v>15</v>
      </c>
      <c r="D349">
        <f>VLOOKUP(C349,customers[],3,0)</f>
        <v>28</v>
      </c>
      <c r="E349" t="str">
        <f>VLOOKUP(C349,customers[],2,0)</f>
        <v>Female</v>
      </c>
      <c r="F349" t="str">
        <f>VLOOKUP(C349,customers[],4,0)</f>
        <v>Cincinnati</v>
      </c>
      <c r="G349">
        <v>159</v>
      </c>
      <c r="H349" s="17" t="s">
        <v>12</v>
      </c>
      <c r="I349" s="18">
        <v>45027</v>
      </c>
      <c r="J349">
        <v>42</v>
      </c>
      <c r="K349">
        <v>4.5</v>
      </c>
      <c r="L349">
        <f>IF(MONTH(calls[[#This Row],[Date of Call]])&lt;=6, YEAR(calls[[#This Row],[Date of Call]]), YEAR(calls[[#This Row],[Date of Call]])+1)</f>
        <v>2023</v>
      </c>
      <c r="M349" t="str">
        <f>TEXT(calls[[#This Row],[Date of Call]],"DDDD")</f>
        <v>الثلاثاء</v>
      </c>
      <c r="N349" t="str" cm="1">
        <f t="array" ref="N349">_xlfn.IFS(calls[[#This Row],[Duration]]&lt;=10,"Under 10 mins", calls[[#This Row],[Duration]]&lt;=30, "10 to 30 mins", calls[[#This Row],[Duration]]&lt;=60, "30 to 60 mins", calls[[#This Row],[Duration]]&lt;=120, "1 to 2 hours", TRUE, "More than 2 hours")</f>
        <v>More than 2 hours</v>
      </c>
      <c r="O349">
        <f>ROUND(calls[[#This Row],[Satisfaction Rating]],0)</f>
        <v>5</v>
      </c>
    </row>
    <row r="350" spans="2:15" x14ac:dyDescent="0.25">
      <c r="B350" t="s">
        <v>371</v>
      </c>
      <c r="C350" t="s">
        <v>14</v>
      </c>
      <c r="D350">
        <f>VLOOKUP(C350,customers[],3,0)</f>
        <v>22</v>
      </c>
      <c r="E350" t="str">
        <f>VLOOKUP(C350,customers[],2,0)</f>
        <v>Female</v>
      </c>
      <c r="F350" t="str">
        <f>VLOOKUP(C350,customers[],4,0)</f>
        <v>Cleveland</v>
      </c>
      <c r="G350">
        <v>25</v>
      </c>
      <c r="H350" s="17" t="s">
        <v>9</v>
      </c>
      <c r="I350" s="18">
        <v>45027</v>
      </c>
      <c r="J350">
        <v>75</v>
      </c>
      <c r="K350">
        <v>3.9</v>
      </c>
      <c r="L350">
        <f>IF(MONTH(calls[[#This Row],[Date of Call]])&lt;=6, YEAR(calls[[#This Row],[Date of Call]]), YEAR(calls[[#This Row],[Date of Call]])+1)</f>
        <v>2023</v>
      </c>
      <c r="M350" t="str">
        <f>TEXT(calls[[#This Row],[Date of Call]],"DDDD")</f>
        <v>الثلاثاء</v>
      </c>
      <c r="N350" t="str" cm="1">
        <f t="array" ref="N350">_xlfn.IFS(calls[[#This Row],[Duration]]&lt;=10,"Under 10 mins", calls[[#This Row],[Duration]]&lt;=30, "10 to 30 mins", calls[[#This Row],[Duration]]&lt;=60, "30 to 60 mins", calls[[#This Row],[Duration]]&lt;=120, "1 to 2 hours", TRUE, "More than 2 hours")</f>
        <v>10 to 30 mins</v>
      </c>
      <c r="O350">
        <f>ROUND(calls[[#This Row],[Satisfaction Rating]],0)</f>
        <v>4</v>
      </c>
    </row>
    <row r="351" spans="2:15" x14ac:dyDescent="0.25">
      <c r="B351" t="s">
        <v>372</v>
      </c>
      <c r="C351" t="s">
        <v>15</v>
      </c>
      <c r="D351">
        <f>VLOOKUP(C351,customers[],3,0)</f>
        <v>28</v>
      </c>
      <c r="E351" t="str">
        <f>VLOOKUP(C351,customers[],2,0)</f>
        <v>Female</v>
      </c>
      <c r="F351" t="str">
        <f>VLOOKUP(C351,customers[],4,0)</f>
        <v>Cincinnati</v>
      </c>
      <c r="G351">
        <v>53</v>
      </c>
      <c r="H351" s="17" t="s">
        <v>5</v>
      </c>
      <c r="I351" s="18">
        <v>45028</v>
      </c>
      <c r="J351">
        <v>23</v>
      </c>
      <c r="K351">
        <v>4.9000000000000004</v>
      </c>
      <c r="L351">
        <f>IF(MONTH(calls[[#This Row],[Date of Call]])&lt;=6, YEAR(calls[[#This Row],[Date of Call]]), YEAR(calls[[#This Row],[Date of Call]])+1)</f>
        <v>2023</v>
      </c>
      <c r="M351" t="str">
        <f>TEXT(calls[[#This Row],[Date of Call]],"DDDD")</f>
        <v>الأربعاء</v>
      </c>
      <c r="N351" t="str" cm="1">
        <f t="array" ref="N351">_xlfn.IFS(calls[[#This Row],[Duration]]&lt;=10,"Under 10 mins", calls[[#This Row],[Duration]]&lt;=30, "10 to 30 mins", calls[[#This Row],[Duration]]&lt;=60, "30 to 60 mins", calls[[#This Row],[Duration]]&lt;=120, "1 to 2 hours", TRUE, "More than 2 hours")</f>
        <v>30 to 60 mins</v>
      </c>
      <c r="O351">
        <f>ROUND(calls[[#This Row],[Satisfaction Rating]],0)</f>
        <v>5</v>
      </c>
    </row>
    <row r="352" spans="2:15" x14ac:dyDescent="0.25">
      <c r="B352" t="s">
        <v>373</v>
      </c>
      <c r="C352" t="s">
        <v>15</v>
      </c>
      <c r="D352">
        <f>VLOOKUP(C352,customers[],3,0)</f>
        <v>28</v>
      </c>
      <c r="E352" t="str">
        <f>VLOOKUP(C352,customers[],2,0)</f>
        <v>Female</v>
      </c>
      <c r="F352" t="str">
        <f>VLOOKUP(C352,customers[],4,0)</f>
        <v>Cincinnati</v>
      </c>
      <c r="G352">
        <v>89</v>
      </c>
      <c r="H352" s="17" t="s">
        <v>9</v>
      </c>
      <c r="I352" s="18">
        <v>45028</v>
      </c>
      <c r="J352">
        <v>200</v>
      </c>
      <c r="K352">
        <v>4.8</v>
      </c>
      <c r="L352">
        <f>IF(MONTH(calls[[#This Row],[Date of Call]])&lt;=6, YEAR(calls[[#This Row],[Date of Call]]), YEAR(calls[[#This Row],[Date of Call]])+1)</f>
        <v>2023</v>
      </c>
      <c r="M352" t="str">
        <f>TEXT(calls[[#This Row],[Date of Call]],"DDDD")</f>
        <v>الأربعاء</v>
      </c>
      <c r="N352" t="str" cm="1">
        <f t="array" ref="N352">_xlfn.IFS(calls[[#This Row],[Duration]]&lt;=10,"Under 10 mins", calls[[#This Row],[Duration]]&lt;=30, "10 to 30 mins", calls[[#This Row],[Duration]]&lt;=60, "30 to 60 mins", calls[[#This Row],[Duration]]&lt;=120, "1 to 2 hours", TRUE, "More than 2 hours")</f>
        <v>1 to 2 hours</v>
      </c>
      <c r="O352">
        <f>ROUND(calls[[#This Row],[Satisfaction Rating]],0)</f>
        <v>5</v>
      </c>
    </row>
    <row r="353" spans="2:15" x14ac:dyDescent="0.25">
      <c r="B353" t="s">
        <v>374</v>
      </c>
      <c r="C353" t="s">
        <v>20</v>
      </c>
      <c r="D353">
        <f>VLOOKUP(C353,customers[],3,0)</f>
        <v>38</v>
      </c>
      <c r="E353" t="str">
        <f>VLOOKUP(C353,customers[],2,0)</f>
        <v>Female</v>
      </c>
      <c r="F353" t="str">
        <f>VLOOKUP(C353,customers[],4,0)</f>
        <v>Columbus</v>
      </c>
      <c r="G353">
        <v>73</v>
      </c>
      <c r="H353" s="17" t="s">
        <v>8</v>
      </c>
      <c r="I353" s="18">
        <v>45029</v>
      </c>
      <c r="J353">
        <v>45</v>
      </c>
      <c r="K353">
        <v>3.6</v>
      </c>
      <c r="L353">
        <f>IF(MONTH(calls[[#This Row],[Date of Call]])&lt;=6, YEAR(calls[[#This Row],[Date of Call]]), YEAR(calls[[#This Row],[Date of Call]])+1)</f>
        <v>2023</v>
      </c>
      <c r="M353" t="str">
        <f>TEXT(calls[[#This Row],[Date of Call]],"DDDD")</f>
        <v>الخميس</v>
      </c>
      <c r="N353" t="str" cm="1">
        <f t="array" ref="N353">_xlfn.IFS(calls[[#This Row],[Duration]]&lt;=10,"Under 10 mins", calls[[#This Row],[Duration]]&lt;=30, "10 to 30 mins", calls[[#This Row],[Duration]]&lt;=60, "30 to 60 mins", calls[[#This Row],[Duration]]&lt;=120, "1 to 2 hours", TRUE, "More than 2 hours")</f>
        <v>1 to 2 hours</v>
      </c>
      <c r="O353">
        <f>ROUND(calls[[#This Row],[Satisfaction Rating]],0)</f>
        <v>4</v>
      </c>
    </row>
    <row r="354" spans="2:15" x14ac:dyDescent="0.25">
      <c r="B354" t="s">
        <v>375</v>
      </c>
      <c r="C354" t="s">
        <v>18</v>
      </c>
      <c r="D354">
        <f>VLOOKUP(C354,customers[],3,0)</f>
        <v>43</v>
      </c>
      <c r="E354" t="str">
        <f>VLOOKUP(C354,customers[],2,0)</f>
        <v>Female</v>
      </c>
      <c r="F354" t="str">
        <f>VLOOKUP(C354,customers[],4,0)</f>
        <v>Cleveland</v>
      </c>
      <c r="G354">
        <v>50</v>
      </c>
      <c r="H354" s="17" t="s">
        <v>8</v>
      </c>
      <c r="I354" s="18">
        <v>45029</v>
      </c>
      <c r="J354">
        <v>105</v>
      </c>
      <c r="K354">
        <v>3.5</v>
      </c>
      <c r="L354">
        <f>IF(MONTH(calls[[#This Row],[Date of Call]])&lt;=6, YEAR(calls[[#This Row],[Date of Call]]), YEAR(calls[[#This Row],[Date of Call]])+1)</f>
        <v>2023</v>
      </c>
      <c r="M354" t="str">
        <f>TEXT(calls[[#This Row],[Date of Call]],"DDDD")</f>
        <v>الخميس</v>
      </c>
      <c r="N354" t="str" cm="1">
        <f t="array" ref="N354">_xlfn.IFS(calls[[#This Row],[Duration]]&lt;=10,"Under 10 mins", calls[[#This Row],[Duration]]&lt;=30, "10 to 30 mins", calls[[#This Row],[Duration]]&lt;=60, "30 to 60 mins", calls[[#This Row],[Duration]]&lt;=120, "1 to 2 hours", TRUE, "More than 2 hours")</f>
        <v>30 to 60 mins</v>
      </c>
      <c r="O354">
        <f>ROUND(calls[[#This Row],[Satisfaction Rating]],0)</f>
        <v>4</v>
      </c>
    </row>
    <row r="355" spans="2:15" x14ac:dyDescent="0.25">
      <c r="B355" t="s">
        <v>376</v>
      </c>
      <c r="C355" t="s">
        <v>7</v>
      </c>
      <c r="D355">
        <f>VLOOKUP(C355,customers[],3,0)</f>
        <v>30</v>
      </c>
      <c r="E355" t="str">
        <f>VLOOKUP(C355,customers[],2,0)</f>
        <v>Female</v>
      </c>
      <c r="F355" t="str">
        <f>VLOOKUP(C355,customers[],4,0)</f>
        <v>Cincinnati</v>
      </c>
      <c r="G355">
        <v>98</v>
      </c>
      <c r="H355" s="17" t="s">
        <v>8</v>
      </c>
      <c r="I355" s="18">
        <v>45029</v>
      </c>
      <c r="J355">
        <v>22</v>
      </c>
      <c r="K355">
        <v>3.8</v>
      </c>
      <c r="L355">
        <f>IF(MONTH(calls[[#This Row],[Date of Call]])&lt;=6, YEAR(calls[[#This Row],[Date of Call]]), YEAR(calls[[#This Row],[Date of Call]])+1)</f>
        <v>2023</v>
      </c>
      <c r="M355" t="str">
        <f>TEXT(calls[[#This Row],[Date of Call]],"DDDD")</f>
        <v>الخميس</v>
      </c>
      <c r="N355" t="str" cm="1">
        <f t="array" ref="N355">_xlfn.IFS(calls[[#This Row],[Duration]]&lt;=10,"Under 10 mins", calls[[#This Row],[Duration]]&lt;=30, "10 to 30 mins", calls[[#This Row],[Duration]]&lt;=60, "30 to 60 mins", calls[[#This Row],[Duration]]&lt;=120, "1 to 2 hours", TRUE, "More than 2 hours")</f>
        <v>1 to 2 hours</v>
      </c>
      <c r="O355">
        <f>ROUND(calls[[#This Row],[Satisfaction Rating]],0)</f>
        <v>4</v>
      </c>
    </row>
    <row r="356" spans="2:15" x14ac:dyDescent="0.25">
      <c r="B356" t="s">
        <v>377</v>
      </c>
      <c r="C356" t="s">
        <v>13</v>
      </c>
      <c r="D356">
        <f>VLOOKUP(C356,customers[],3,0)</f>
        <v>37</v>
      </c>
      <c r="E356" t="str">
        <f>VLOOKUP(C356,customers[],2,0)</f>
        <v>Female</v>
      </c>
      <c r="F356" t="str">
        <f>VLOOKUP(C356,customers[],4,0)</f>
        <v>Cleveland</v>
      </c>
      <c r="G356">
        <v>114</v>
      </c>
      <c r="H356" s="17" t="s">
        <v>12</v>
      </c>
      <c r="I356" s="18">
        <v>45030</v>
      </c>
      <c r="J356">
        <v>126</v>
      </c>
      <c r="K356">
        <v>4.4000000000000004</v>
      </c>
      <c r="L356">
        <f>IF(MONTH(calls[[#This Row],[Date of Call]])&lt;=6, YEAR(calls[[#This Row],[Date of Call]]), YEAR(calls[[#This Row],[Date of Call]])+1)</f>
        <v>2023</v>
      </c>
      <c r="M356" t="str">
        <f>TEXT(calls[[#This Row],[Date of Call]],"DDDD")</f>
        <v>الجمعة</v>
      </c>
      <c r="N356" t="str" cm="1">
        <f t="array" ref="N356">_xlfn.IFS(calls[[#This Row],[Duration]]&lt;=10,"Under 10 mins", calls[[#This Row],[Duration]]&lt;=30, "10 to 30 mins", calls[[#This Row],[Duration]]&lt;=60, "30 to 60 mins", calls[[#This Row],[Duration]]&lt;=120, "1 to 2 hours", TRUE, "More than 2 hours")</f>
        <v>1 to 2 hours</v>
      </c>
      <c r="O356">
        <f>ROUND(calls[[#This Row],[Satisfaction Rating]],0)</f>
        <v>4</v>
      </c>
    </row>
    <row r="357" spans="2:15" x14ac:dyDescent="0.25">
      <c r="B357" t="s">
        <v>378</v>
      </c>
      <c r="C357" t="s">
        <v>6</v>
      </c>
      <c r="D357">
        <f>VLOOKUP(C357,customers[],3,0)</f>
        <v>23</v>
      </c>
      <c r="E357" t="str">
        <f>VLOOKUP(C357,customers[],2,0)</f>
        <v>Male</v>
      </c>
      <c r="F357" t="str">
        <f>VLOOKUP(C357,customers[],4,0)</f>
        <v>Columbus</v>
      </c>
      <c r="G357">
        <v>67</v>
      </c>
      <c r="H357" s="17" t="s">
        <v>12</v>
      </c>
      <c r="I357" s="18">
        <v>45030</v>
      </c>
      <c r="J357">
        <v>35</v>
      </c>
      <c r="K357">
        <v>3</v>
      </c>
      <c r="L357">
        <f>IF(MONTH(calls[[#This Row],[Date of Call]])&lt;=6, YEAR(calls[[#This Row],[Date of Call]]), YEAR(calls[[#This Row],[Date of Call]])+1)</f>
        <v>2023</v>
      </c>
      <c r="M357" t="str">
        <f>TEXT(calls[[#This Row],[Date of Call]],"DDDD")</f>
        <v>الجمعة</v>
      </c>
      <c r="N357" t="str" cm="1">
        <f t="array" ref="N357">_xlfn.IFS(calls[[#This Row],[Duration]]&lt;=10,"Under 10 mins", calls[[#This Row],[Duration]]&lt;=30, "10 to 30 mins", calls[[#This Row],[Duration]]&lt;=60, "30 to 60 mins", calls[[#This Row],[Duration]]&lt;=120, "1 to 2 hours", TRUE, "More than 2 hours")</f>
        <v>1 to 2 hours</v>
      </c>
      <c r="O357">
        <f>ROUND(calls[[#This Row],[Satisfaction Rating]],0)</f>
        <v>3</v>
      </c>
    </row>
    <row r="358" spans="2:15" x14ac:dyDescent="0.25">
      <c r="B358" t="s">
        <v>379</v>
      </c>
      <c r="C358" t="s">
        <v>22</v>
      </c>
      <c r="D358">
        <f>VLOOKUP(C358,customers[],3,0)</f>
        <v>37</v>
      </c>
      <c r="E358" t="str">
        <f>VLOOKUP(C358,customers[],2,0)</f>
        <v>Male</v>
      </c>
      <c r="F358" t="str">
        <f>VLOOKUP(C358,customers[],4,0)</f>
        <v>Columbus</v>
      </c>
      <c r="G358">
        <v>91</v>
      </c>
      <c r="H358" s="17" t="s">
        <v>8</v>
      </c>
      <c r="I358" s="18">
        <v>45030</v>
      </c>
      <c r="J358">
        <v>84</v>
      </c>
      <c r="K358">
        <v>4.5</v>
      </c>
      <c r="L358">
        <f>IF(MONTH(calls[[#This Row],[Date of Call]])&lt;=6, YEAR(calls[[#This Row],[Date of Call]]), YEAR(calls[[#This Row],[Date of Call]])+1)</f>
        <v>2023</v>
      </c>
      <c r="M358" t="str">
        <f>TEXT(calls[[#This Row],[Date of Call]],"DDDD")</f>
        <v>الجمعة</v>
      </c>
      <c r="N358" t="str" cm="1">
        <f t="array" ref="N358">_xlfn.IFS(calls[[#This Row],[Duration]]&lt;=10,"Under 10 mins", calls[[#This Row],[Duration]]&lt;=30, "10 to 30 mins", calls[[#This Row],[Duration]]&lt;=60, "30 to 60 mins", calls[[#This Row],[Duration]]&lt;=120, "1 to 2 hours", TRUE, "More than 2 hours")</f>
        <v>1 to 2 hours</v>
      </c>
      <c r="O358">
        <f>ROUND(calls[[#This Row],[Satisfaction Rating]],0)</f>
        <v>5</v>
      </c>
    </row>
    <row r="359" spans="2:15" x14ac:dyDescent="0.25">
      <c r="B359" t="s">
        <v>380</v>
      </c>
      <c r="C359" t="s">
        <v>4</v>
      </c>
      <c r="D359">
        <f>VLOOKUP(C359,customers[],3,0)</f>
        <v>42</v>
      </c>
      <c r="E359" t="str">
        <f>VLOOKUP(C359,customers[],2,0)</f>
        <v>Female</v>
      </c>
      <c r="F359" t="str">
        <f>VLOOKUP(C359,customers[],4,0)</f>
        <v>Cleveland</v>
      </c>
      <c r="G359">
        <v>67</v>
      </c>
      <c r="H359" s="17" t="s">
        <v>8</v>
      </c>
      <c r="I359" s="18">
        <v>45031</v>
      </c>
      <c r="J359">
        <v>172</v>
      </c>
      <c r="K359">
        <v>4.5</v>
      </c>
      <c r="L359">
        <f>IF(MONTH(calls[[#This Row],[Date of Call]])&lt;=6, YEAR(calls[[#This Row],[Date of Call]]), YEAR(calls[[#This Row],[Date of Call]])+1)</f>
        <v>2023</v>
      </c>
      <c r="M359" t="str">
        <f>TEXT(calls[[#This Row],[Date of Call]],"DDDD")</f>
        <v>السبت</v>
      </c>
      <c r="N359" t="str" cm="1">
        <f t="array" ref="N359">_xlfn.IFS(calls[[#This Row],[Duration]]&lt;=10,"Under 10 mins", calls[[#This Row],[Duration]]&lt;=30, "10 to 30 mins", calls[[#This Row],[Duration]]&lt;=60, "30 to 60 mins", calls[[#This Row],[Duration]]&lt;=120, "1 to 2 hours", TRUE, "More than 2 hours")</f>
        <v>1 to 2 hours</v>
      </c>
      <c r="O359">
        <f>ROUND(calls[[#This Row],[Satisfaction Rating]],0)</f>
        <v>5</v>
      </c>
    </row>
    <row r="360" spans="2:15" x14ac:dyDescent="0.25">
      <c r="B360" t="s">
        <v>381</v>
      </c>
      <c r="C360" t="s">
        <v>13</v>
      </c>
      <c r="D360">
        <f>VLOOKUP(C360,customers[],3,0)</f>
        <v>37</v>
      </c>
      <c r="E360" t="str">
        <f>VLOOKUP(C360,customers[],2,0)</f>
        <v>Female</v>
      </c>
      <c r="F360" t="str">
        <f>VLOOKUP(C360,customers[],4,0)</f>
        <v>Cleveland</v>
      </c>
      <c r="G360">
        <v>139</v>
      </c>
      <c r="H360" s="17" t="s">
        <v>9</v>
      </c>
      <c r="I360" s="18">
        <v>45031</v>
      </c>
      <c r="J360">
        <v>114</v>
      </c>
      <c r="K360">
        <v>4</v>
      </c>
      <c r="L360">
        <f>IF(MONTH(calls[[#This Row],[Date of Call]])&lt;=6, YEAR(calls[[#This Row],[Date of Call]]), YEAR(calls[[#This Row],[Date of Call]])+1)</f>
        <v>2023</v>
      </c>
      <c r="M360" t="str">
        <f>TEXT(calls[[#This Row],[Date of Call]],"DDDD")</f>
        <v>السبت</v>
      </c>
      <c r="N360" t="str" cm="1">
        <f t="array" ref="N360">_xlfn.IFS(calls[[#This Row],[Duration]]&lt;=10,"Under 10 mins", calls[[#This Row],[Duration]]&lt;=30, "10 to 30 mins", calls[[#This Row],[Duration]]&lt;=60, "30 to 60 mins", calls[[#This Row],[Duration]]&lt;=120, "1 to 2 hours", TRUE, "More than 2 hours")</f>
        <v>More than 2 hours</v>
      </c>
      <c r="O360">
        <f>ROUND(calls[[#This Row],[Satisfaction Rating]],0)</f>
        <v>4</v>
      </c>
    </row>
    <row r="361" spans="2:15" x14ac:dyDescent="0.25">
      <c r="B361" t="s">
        <v>382</v>
      </c>
      <c r="C361" t="s">
        <v>4</v>
      </c>
      <c r="D361">
        <f>VLOOKUP(C361,customers[],3,0)</f>
        <v>42</v>
      </c>
      <c r="E361" t="str">
        <f>VLOOKUP(C361,customers[],2,0)</f>
        <v>Female</v>
      </c>
      <c r="F361" t="str">
        <f>VLOOKUP(C361,customers[],4,0)</f>
        <v>Cleveland</v>
      </c>
      <c r="G361">
        <v>102</v>
      </c>
      <c r="H361" s="17" t="s">
        <v>9</v>
      </c>
      <c r="I361" s="18">
        <v>45031</v>
      </c>
      <c r="J361">
        <v>60</v>
      </c>
      <c r="K361">
        <v>3.8</v>
      </c>
      <c r="L361">
        <f>IF(MONTH(calls[[#This Row],[Date of Call]])&lt;=6, YEAR(calls[[#This Row],[Date of Call]]), YEAR(calls[[#This Row],[Date of Call]])+1)</f>
        <v>2023</v>
      </c>
      <c r="M361" t="str">
        <f>TEXT(calls[[#This Row],[Date of Call]],"DDDD")</f>
        <v>السبت</v>
      </c>
      <c r="N361" t="str" cm="1">
        <f t="array" ref="N361">_xlfn.IFS(calls[[#This Row],[Duration]]&lt;=10,"Under 10 mins", calls[[#This Row],[Duration]]&lt;=30, "10 to 30 mins", calls[[#This Row],[Duration]]&lt;=60, "30 to 60 mins", calls[[#This Row],[Duration]]&lt;=120, "1 to 2 hours", TRUE, "More than 2 hours")</f>
        <v>1 to 2 hours</v>
      </c>
      <c r="O361">
        <f>ROUND(calls[[#This Row],[Satisfaction Rating]],0)</f>
        <v>4</v>
      </c>
    </row>
    <row r="362" spans="2:15" x14ac:dyDescent="0.25">
      <c r="B362" t="s">
        <v>383</v>
      </c>
      <c r="C362" t="s">
        <v>16</v>
      </c>
      <c r="D362">
        <f>VLOOKUP(C362,customers[],3,0)</f>
        <v>41</v>
      </c>
      <c r="E362" t="str">
        <f>VLOOKUP(C362,customers[],2,0)</f>
        <v>Male</v>
      </c>
      <c r="F362" t="str">
        <f>VLOOKUP(C362,customers[],4,0)</f>
        <v>Columbus</v>
      </c>
      <c r="G362">
        <v>108</v>
      </c>
      <c r="H362" s="17" t="s">
        <v>10</v>
      </c>
      <c r="I362" s="18">
        <v>45031</v>
      </c>
      <c r="J362">
        <v>26</v>
      </c>
      <c r="K362">
        <v>3.3</v>
      </c>
      <c r="L362">
        <f>IF(MONTH(calls[[#This Row],[Date of Call]])&lt;=6, YEAR(calls[[#This Row],[Date of Call]]), YEAR(calls[[#This Row],[Date of Call]])+1)</f>
        <v>2023</v>
      </c>
      <c r="M362" t="str">
        <f>TEXT(calls[[#This Row],[Date of Call]],"DDDD")</f>
        <v>السبت</v>
      </c>
      <c r="N362" t="str" cm="1">
        <f t="array" ref="N362">_xlfn.IFS(calls[[#This Row],[Duration]]&lt;=10,"Under 10 mins", calls[[#This Row],[Duration]]&lt;=30, "10 to 30 mins", calls[[#This Row],[Duration]]&lt;=60, "30 to 60 mins", calls[[#This Row],[Duration]]&lt;=120, "1 to 2 hours", TRUE, "More than 2 hours")</f>
        <v>1 to 2 hours</v>
      </c>
      <c r="O362">
        <f>ROUND(calls[[#This Row],[Satisfaction Rating]],0)</f>
        <v>3</v>
      </c>
    </row>
    <row r="363" spans="2:15" x14ac:dyDescent="0.25">
      <c r="B363" t="s">
        <v>384</v>
      </c>
      <c r="C363" t="s">
        <v>14</v>
      </c>
      <c r="D363">
        <f>VLOOKUP(C363,customers[],3,0)</f>
        <v>22</v>
      </c>
      <c r="E363" t="str">
        <f>VLOOKUP(C363,customers[],2,0)</f>
        <v>Female</v>
      </c>
      <c r="F363" t="str">
        <f>VLOOKUP(C363,customers[],4,0)</f>
        <v>Cleveland</v>
      </c>
      <c r="G363">
        <v>66</v>
      </c>
      <c r="H363" s="17" t="s">
        <v>8</v>
      </c>
      <c r="I363" s="18">
        <v>45031</v>
      </c>
      <c r="J363">
        <v>210</v>
      </c>
      <c r="K363">
        <v>4.3</v>
      </c>
      <c r="L363">
        <f>IF(MONTH(calls[[#This Row],[Date of Call]])&lt;=6, YEAR(calls[[#This Row],[Date of Call]]), YEAR(calls[[#This Row],[Date of Call]])+1)</f>
        <v>2023</v>
      </c>
      <c r="M363" t="str">
        <f>TEXT(calls[[#This Row],[Date of Call]],"DDDD")</f>
        <v>السبت</v>
      </c>
      <c r="N363" t="str" cm="1">
        <f t="array" ref="N363">_xlfn.IFS(calls[[#This Row],[Duration]]&lt;=10,"Under 10 mins", calls[[#This Row],[Duration]]&lt;=30, "10 to 30 mins", calls[[#This Row],[Duration]]&lt;=60, "30 to 60 mins", calls[[#This Row],[Duration]]&lt;=120, "1 to 2 hours", TRUE, "More than 2 hours")</f>
        <v>1 to 2 hours</v>
      </c>
      <c r="O363">
        <f>ROUND(calls[[#This Row],[Satisfaction Rating]],0)</f>
        <v>4</v>
      </c>
    </row>
    <row r="364" spans="2:15" x14ac:dyDescent="0.25">
      <c r="B364" t="s">
        <v>385</v>
      </c>
      <c r="C364" t="s">
        <v>21</v>
      </c>
      <c r="D364">
        <f>VLOOKUP(C364,customers[],3,0)</f>
        <v>25</v>
      </c>
      <c r="E364" t="str">
        <f>VLOOKUP(C364,customers[],2,0)</f>
        <v>Female</v>
      </c>
      <c r="F364" t="str">
        <f>VLOOKUP(C364,customers[],4,0)</f>
        <v>Columbus</v>
      </c>
      <c r="G364">
        <v>85</v>
      </c>
      <c r="H364" s="17" t="s">
        <v>9</v>
      </c>
      <c r="I364" s="18">
        <v>45031</v>
      </c>
      <c r="J364">
        <v>129</v>
      </c>
      <c r="K364">
        <v>4.2</v>
      </c>
      <c r="L364">
        <f>IF(MONTH(calls[[#This Row],[Date of Call]])&lt;=6, YEAR(calls[[#This Row],[Date of Call]]), YEAR(calls[[#This Row],[Date of Call]])+1)</f>
        <v>2023</v>
      </c>
      <c r="M364" t="str">
        <f>TEXT(calls[[#This Row],[Date of Call]],"DDDD")</f>
        <v>السبت</v>
      </c>
      <c r="N364" t="str" cm="1">
        <f t="array" ref="N364">_xlfn.IFS(calls[[#This Row],[Duration]]&lt;=10,"Under 10 mins", calls[[#This Row],[Duration]]&lt;=30, "10 to 30 mins", calls[[#This Row],[Duration]]&lt;=60, "30 to 60 mins", calls[[#This Row],[Duration]]&lt;=120, "1 to 2 hours", TRUE, "More than 2 hours")</f>
        <v>1 to 2 hours</v>
      </c>
      <c r="O364">
        <f>ROUND(calls[[#This Row],[Satisfaction Rating]],0)</f>
        <v>4</v>
      </c>
    </row>
    <row r="365" spans="2:15" x14ac:dyDescent="0.25">
      <c r="B365" t="s">
        <v>386</v>
      </c>
      <c r="C365" t="s">
        <v>6</v>
      </c>
      <c r="D365">
        <f>VLOOKUP(C365,customers[],3,0)</f>
        <v>23</v>
      </c>
      <c r="E365" t="str">
        <f>VLOOKUP(C365,customers[],2,0)</f>
        <v>Male</v>
      </c>
      <c r="F365" t="str">
        <f>VLOOKUP(C365,customers[],4,0)</f>
        <v>Columbus</v>
      </c>
      <c r="G365">
        <v>55</v>
      </c>
      <c r="H365" s="17" t="s">
        <v>10</v>
      </c>
      <c r="I365" s="18">
        <v>45031</v>
      </c>
      <c r="J365">
        <v>215</v>
      </c>
      <c r="K365">
        <v>4.3</v>
      </c>
      <c r="L365">
        <f>IF(MONTH(calls[[#This Row],[Date of Call]])&lt;=6, YEAR(calls[[#This Row],[Date of Call]]), YEAR(calls[[#This Row],[Date of Call]])+1)</f>
        <v>2023</v>
      </c>
      <c r="M365" t="str">
        <f>TEXT(calls[[#This Row],[Date of Call]],"DDDD")</f>
        <v>السبت</v>
      </c>
      <c r="N365" t="str" cm="1">
        <f t="array" ref="N365">_xlfn.IFS(calls[[#This Row],[Duration]]&lt;=10,"Under 10 mins", calls[[#This Row],[Duration]]&lt;=30, "10 to 30 mins", calls[[#This Row],[Duration]]&lt;=60, "30 to 60 mins", calls[[#This Row],[Duration]]&lt;=120, "1 to 2 hours", TRUE, "More than 2 hours")</f>
        <v>30 to 60 mins</v>
      </c>
      <c r="O365">
        <f>ROUND(calls[[#This Row],[Satisfaction Rating]],0)</f>
        <v>4</v>
      </c>
    </row>
    <row r="366" spans="2:15" x14ac:dyDescent="0.25">
      <c r="B366" t="s">
        <v>387</v>
      </c>
      <c r="C366" t="s">
        <v>16</v>
      </c>
      <c r="D366">
        <f>VLOOKUP(C366,customers[],3,0)</f>
        <v>41</v>
      </c>
      <c r="E366" t="str">
        <f>VLOOKUP(C366,customers[],2,0)</f>
        <v>Male</v>
      </c>
      <c r="F366" t="str">
        <f>VLOOKUP(C366,customers[],4,0)</f>
        <v>Columbus</v>
      </c>
      <c r="G366">
        <v>17</v>
      </c>
      <c r="H366" s="17" t="s">
        <v>5</v>
      </c>
      <c r="I366" s="18">
        <v>45031</v>
      </c>
      <c r="J366">
        <v>69</v>
      </c>
      <c r="K366">
        <v>4.5999999999999996</v>
      </c>
      <c r="L366">
        <f>IF(MONTH(calls[[#This Row],[Date of Call]])&lt;=6, YEAR(calls[[#This Row],[Date of Call]]), YEAR(calls[[#This Row],[Date of Call]])+1)</f>
        <v>2023</v>
      </c>
      <c r="M366" t="str">
        <f>TEXT(calls[[#This Row],[Date of Call]],"DDDD")</f>
        <v>السبت</v>
      </c>
      <c r="N366" t="str" cm="1">
        <f t="array" ref="N366">_xlfn.IFS(calls[[#This Row],[Duration]]&lt;=10,"Under 10 mins", calls[[#This Row],[Duration]]&lt;=30, "10 to 30 mins", calls[[#This Row],[Duration]]&lt;=60, "30 to 60 mins", calls[[#This Row],[Duration]]&lt;=120, "1 to 2 hours", TRUE, "More than 2 hours")</f>
        <v>10 to 30 mins</v>
      </c>
      <c r="O366">
        <f>ROUND(calls[[#This Row],[Satisfaction Rating]],0)</f>
        <v>5</v>
      </c>
    </row>
    <row r="367" spans="2:15" x14ac:dyDescent="0.25">
      <c r="B367" t="s">
        <v>388</v>
      </c>
      <c r="C367" t="s">
        <v>6</v>
      </c>
      <c r="D367">
        <f>VLOOKUP(C367,customers[],3,0)</f>
        <v>23</v>
      </c>
      <c r="E367" t="str">
        <f>VLOOKUP(C367,customers[],2,0)</f>
        <v>Male</v>
      </c>
      <c r="F367" t="str">
        <f>VLOOKUP(C367,customers[],4,0)</f>
        <v>Columbus</v>
      </c>
      <c r="G367">
        <v>128</v>
      </c>
      <c r="H367" s="17" t="s">
        <v>5</v>
      </c>
      <c r="I367" s="18">
        <v>45031</v>
      </c>
      <c r="J367">
        <v>140</v>
      </c>
      <c r="K367">
        <v>3</v>
      </c>
      <c r="L367">
        <f>IF(MONTH(calls[[#This Row],[Date of Call]])&lt;=6, YEAR(calls[[#This Row],[Date of Call]]), YEAR(calls[[#This Row],[Date of Call]])+1)</f>
        <v>2023</v>
      </c>
      <c r="M367" t="str">
        <f>TEXT(calls[[#This Row],[Date of Call]],"DDDD")</f>
        <v>السبت</v>
      </c>
      <c r="N367" t="str" cm="1">
        <f t="array" ref="N367">_xlfn.IFS(calls[[#This Row],[Duration]]&lt;=10,"Under 10 mins", calls[[#This Row],[Duration]]&lt;=30, "10 to 30 mins", calls[[#This Row],[Duration]]&lt;=60, "30 to 60 mins", calls[[#This Row],[Duration]]&lt;=120, "1 to 2 hours", TRUE, "More than 2 hours")</f>
        <v>More than 2 hours</v>
      </c>
      <c r="O367">
        <f>ROUND(calls[[#This Row],[Satisfaction Rating]],0)</f>
        <v>3</v>
      </c>
    </row>
    <row r="368" spans="2:15" x14ac:dyDescent="0.25">
      <c r="B368" t="s">
        <v>389</v>
      </c>
      <c r="C368" t="s">
        <v>18</v>
      </c>
      <c r="D368">
        <f>VLOOKUP(C368,customers[],3,0)</f>
        <v>43</v>
      </c>
      <c r="E368" t="str">
        <f>VLOOKUP(C368,customers[],2,0)</f>
        <v>Female</v>
      </c>
      <c r="F368" t="str">
        <f>VLOOKUP(C368,customers[],4,0)</f>
        <v>Cleveland</v>
      </c>
      <c r="G368">
        <v>45</v>
      </c>
      <c r="H368" s="17" t="s">
        <v>10</v>
      </c>
      <c r="I368" s="18">
        <v>45032</v>
      </c>
      <c r="J368">
        <v>156</v>
      </c>
      <c r="K368">
        <v>2.7</v>
      </c>
      <c r="L368">
        <f>IF(MONTH(calls[[#This Row],[Date of Call]])&lt;=6, YEAR(calls[[#This Row],[Date of Call]]), YEAR(calls[[#This Row],[Date of Call]])+1)</f>
        <v>2023</v>
      </c>
      <c r="M368" t="str">
        <f>TEXT(calls[[#This Row],[Date of Call]],"DDDD")</f>
        <v>الأحد</v>
      </c>
      <c r="N368" t="str" cm="1">
        <f t="array" ref="N368">_xlfn.IFS(calls[[#This Row],[Duration]]&lt;=10,"Under 10 mins", calls[[#This Row],[Duration]]&lt;=30, "10 to 30 mins", calls[[#This Row],[Duration]]&lt;=60, "30 to 60 mins", calls[[#This Row],[Duration]]&lt;=120, "1 to 2 hours", TRUE, "More than 2 hours")</f>
        <v>30 to 60 mins</v>
      </c>
      <c r="O368">
        <f>ROUND(calls[[#This Row],[Satisfaction Rating]],0)</f>
        <v>3</v>
      </c>
    </row>
    <row r="369" spans="2:15" x14ac:dyDescent="0.25">
      <c r="B369" t="s">
        <v>390</v>
      </c>
      <c r="C369" t="s">
        <v>16</v>
      </c>
      <c r="D369">
        <f>VLOOKUP(C369,customers[],3,0)</f>
        <v>41</v>
      </c>
      <c r="E369" t="str">
        <f>VLOOKUP(C369,customers[],2,0)</f>
        <v>Male</v>
      </c>
      <c r="F369" t="str">
        <f>VLOOKUP(C369,customers[],4,0)</f>
        <v>Columbus</v>
      </c>
      <c r="G369">
        <v>41</v>
      </c>
      <c r="H369" s="17" t="s">
        <v>5</v>
      </c>
      <c r="I369" s="18">
        <v>45032</v>
      </c>
      <c r="J369">
        <v>164</v>
      </c>
      <c r="K369">
        <v>3.1</v>
      </c>
      <c r="L369">
        <f>IF(MONTH(calls[[#This Row],[Date of Call]])&lt;=6, YEAR(calls[[#This Row],[Date of Call]]), YEAR(calls[[#This Row],[Date of Call]])+1)</f>
        <v>2023</v>
      </c>
      <c r="M369" t="str">
        <f>TEXT(calls[[#This Row],[Date of Call]],"DDDD")</f>
        <v>الأحد</v>
      </c>
      <c r="N369" t="str" cm="1">
        <f t="array" ref="N369">_xlfn.IFS(calls[[#This Row],[Duration]]&lt;=10,"Under 10 mins", calls[[#This Row],[Duration]]&lt;=30, "10 to 30 mins", calls[[#This Row],[Duration]]&lt;=60, "30 to 60 mins", calls[[#This Row],[Duration]]&lt;=120, "1 to 2 hours", TRUE, "More than 2 hours")</f>
        <v>30 to 60 mins</v>
      </c>
      <c r="O369">
        <f>ROUND(calls[[#This Row],[Satisfaction Rating]],0)</f>
        <v>3</v>
      </c>
    </row>
    <row r="370" spans="2:15" x14ac:dyDescent="0.25">
      <c r="B370" t="s">
        <v>391</v>
      </c>
      <c r="C370" t="s">
        <v>23</v>
      </c>
      <c r="D370">
        <f>VLOOKUP(C370,customers[],3,0)</f>
        <v>31</v>
      </c>
      <c r="E370" t="str">
        <f>VLOOKUP(C370,customers[],2,0)</f>
        <v>Male</v>
      </c>
      <c r="F370" t="str">
        <f>VLOOKUP(C370,customers[],4,0)</f>
        <v>Cleveland</v>
      </c>
      <c r="G370">
        <v>49</v>
      </c>
      <c r="H370" s="17" t="s">
        <v>5</v>
      </c>
      <c r="I370" s="18">
        <v>45032</v>
      </c>
      <c r="J370">
        <v>195</v>
      </c>
      <c r="K370">
        <v>2.6</v>
      </c>
      <c r="L370">
        <f>IF(MONTH(calls[[#This Row],[Date of Call]])&lt;=6, YEAR(calls[[#This Row],[Date of Call]]), YEAR(calls[[#This Row],[Date of Call]])+1)</f>
        <v>2023</v>
      </c>
      <c r="M370" t="str">
        <f>TEXT(calls[[#This Row],[Date of Call]],"DDDD")</f>
        <v>الأحد</v>
      </c>
      <c r="N370" t="str" cm="1">
        <f t="array" ref="N370">_xlfn.IFS(calls[[#This Row],[Duration]]&lt;=10,"Under 10 mins", calls[[#This Row],[Duration]]&lt;=30, "10 to 30 mins", calls[[#This Row],[Duration]]&lt;=60, "30 to 60 mins", calls[[#This Row],[Duration]]&lt;=120, "1 to 2 hours", TRUE, "More than 2 hours")</f>
        <v>30 to 60 mins</v>
      </c>
      <c r="O370">
        <f>ROUND(calls[[#This Row],[Satisfaction Rating]],0)</f>
        <v>3</v>
      </c>
    </row>
    <row r="371" spans="2:15" x14ac:dyDescent="0.25">
      <c r="B371" t="s">
        <v>392</v>
      </c>
      <c r="C371" t="s">
        <v>11</v>
      </c>
      <c r="D371">
        <f>VLOOKUP(C371,customers[],3,0)</f>
        <v>36</v>
      </c>
      <c r="E371" t="str">
        <f>VLOOKUP(C371,customers[],2,0)</f>
        <v>Male</v>
      </c>
      <c r="F371" t="str">
        <f>VLOOKUP(C371,customers[],4,0)</f>
        <v>Cincinnati</v>
      </c>
      <c r="G371">
        <v>21</v>
      </c>
      <c r="H371" s="17" t="s">
        <v>12</v>
      </c>
      <c r="I371" s="18">
        <v>45032</v>
      </c>
      <c r="J371">
        <v>74</v>
      </c>
      <c r="K371">
        <v>4.5999999999999996</v>
      </c>
      <c r="L371">
        <f>IF(MONTH(calls[[#This Row],[Date of Call]])&lt;=6, YEAR(calls[[#This Row],[Date of Call]]), YEAR(calls[[#This Row],[Date of Call]])+1)</f>
        <v>2023</v>
      </c>
      <c r="M371" t="str">
        <f>TEXT(calls[[#This Row],[Date of Call]],"DDDD")</f>
        <v>الأحد</v>
      </c>
      <c r="N371" t="str" cm="1">
        <f t="array" ref="N371">_xlfn.IFS(calls[[#This Row],[Duration]]&lt;=10,"Under 10 mins", calls[[#This Row],[Duration]]&lt;=30, "10 to 30 mins", calls[[#This Row],[Duration]]&lt;=60, "30 to 60 mins", calls[[#This Row],[Duration]]&lt;=120, "1 to 2 hours", TRUE, "More than 2 hours")</f>
        <v>10 to 30 mins</v>
      </c>
      <c r="O371">
        <f>ROUND(calls[[#This Row],[Satisfaction Rating]],0)</f>
        <v>5</v>
      </c>
    </row>
    <row r="372" spans="2:15" x14ac:dyDescent="0.25">
      <c r="B372" t="s">
        <v>393</v>
      </c>
      <c r="C372" t="s">
        <v>15</v>
      </c>
      <c r="D372">
        <f>VLOOKUP(C372,customers[],3,0)</f>
        <v>28</v>
      </c>
      <c r="E372" t="str">
        <f>VLOOKUP(C372,customers[],2,0)</f>
        <v>Female</v>
      </c>
      <c r="F372" t="str">
        <f>VLOOKUP(C372,customers[],4,0)</f>
        <v>Cincinnati</v>
      </c>
      <c r="G372">
        <v>133</v>
      </c>
      <c r="H372" s="17" t="s">
        <v>10</v>
      </c>
      <c r="I372" s="18">
        <v>45032</v>
      </c>
      <c r="J372">
        <v>100</v>
      </c>
      <c r="K372">
        <v>4</v>
      </c>
      <c r="L372">
        <f>IF(MONTH(calls[[#This Row],[Date of Call]])&lt;=6, YEAR(calls[[#This Row],[Date of Call]]), YEAR(calls[[#This Row],[Date of Call]])+1)</f>
        <v>2023</v>
      </c>
      <c r="M372" t="str">
        <f>TEXT(calls[[#This Row],[Date of Call]],"DDDD")</f>
        <v>الأحد</v>
      </c>
      <c r="N372" t="str" cm="1">
        <f t="array" ref="N372">_xlfn.IFS(calls[[#This Row],[Duration]]&lt;=10,"Under 10 mins", calls[[#This Row],[Duration]]&lt;=30, "10 to 30 mins", calls[[#This Row],[Duration]]&lt;=60, "30 to 60 mins", calls[[#This Row],[Duration]]&lt;=120, "1 to 2 hours", TRUE, "More than 2 hours")</f>
        <v>More than 2 hours</v>
      </c>
      <c r="O372">
        <f>ROUND(calls[[#This Row],[Satisfaction Rating]],0)</f>
        <v>4</v>
      </c>
    </row>
    <row r="373" spans="2:15" x14ac:dyDescent="0.25">
      <c r="B373" t="s">
        <v>394</v>
      </c>
      <c r="C373" t="s">
        <v>19</v>
      </c>
      <c r="D373">
        <f>VLOOKUP(C373,customers[],3,0)</f>
        <v>26</v>
      </c>
      <c r="E373" t="str">
        <f>VLOOKUP(C373,customers[],2,0)</f>
        <v>Male</v>
      </c>
      <c r="F373" t="str">
        <f>VLOOKUP(C373,customers[],4,0)</f>
        <v>Cincinnati</v>
      </c>
      <c r="G373">
        <v>135</v>
      </c>
      <c r="H373" s="17" t="s">
        <v>8</v>
      </c>
      <c r="I373" s="18">
        <v>45032</v>
      </c>
      <c r="J373">
        <v>185</v>
      </c>
      <c r="K373">
        <v>4.5</v>
      </c>
      <c r="L373">
        <f>IF(MONTH(calls[[#This Row],[Date of Call]])&lt;=6, YEAR(calls[[#This Row],[Date of Call]]), YEAR(calls[[#This Row],[Date of Call]])+1)</f>
        <v>2023</v>
      </c>
      <c r="M373" t="str">
        <f>TEXT(calls[[#This Row],[Date of Call]],"DDDD")</f>
        <v>الأحد</v>
      </c>
      <c r="N373" t="str" cm="1">
        <f t="array" ref="N373">_xlfn.IFS(calls[[#This Row],[Duration]]&lt;=10,"Under 10 mins", calls[[#This Row],[Duration]]&lt;=30, "10 to 30 mins", calls[[#This Row],[Duration]]&lt;=60, "30 to 60 mins", calls[[#This Row],[Duration]]&lt;=120, "1 to 2 hours", TRUE, "More than 2 hours")</f>
        <v>More than 2 hours</v>
      </c>
      <c r="O373">
        <f>ROUND(calls[[#This Row],[Satisfaction Rating]],0)</f>
        <v>5</v>
      </c>
    </row>
    <row r="374" spans="2:15" x14ac:dyDescent="0.25">
      <c r="B374" t="s">
        <v>395</v>
      </c>
      <c r="C374" t="s">
        <v>13</v>
      </c>
      <c r="D374">
        <f>VLOOKUP(C374,customers[],3,0)</f>
        <v>37</v>
      </c>
      <c r="E374" t="str">
        <f>VLOOKUP(C374,customers[],2,0)</f>
        <v>Female</v>
      </c>
      <c r="F374" t="str">
        <f>VLOOKUP(C374,customers[],4,0)</f>
        <v>Cleveland</v>
      </c>
      <c r="G374">
        <v>69</v>
      </c>
      <c r="H374" s="17" t="s">
        <v>10</v>
      </c>
      <c r="I374" s="18">
        <v>45032</v>
      </c>
      <c r="J374">
        <v>130</v>
      </c>
      <c r="K374">
        <v>1.9</v>
      </c>
      <c r="L374">
        <f>IF(MONTH(calls[[#This Row],[Date of Call]])&lt;=6, YEAR(calls[[#This Row],[Date of Call]]), YEAR(calls[[#This Row],[Date of Call]])+1)</f>
        <v>2023</v>
      </c>
      <c r="M374" t="str">
        <f>TEXT(calls[[#This Row],[Date of Call]],"DDDD")</f>
        <v>الأحد</v>
      </c>
      <c r="N374" t="str" cm="1">
        <f t="array" ref="N374">_xlfn.IFS(calls[[#This Row],[Duration]]&lt;=10,"Under 10 mins", calls[[#This Row],[Duration]]&lt;=30, "10 to 30 mins", calls[[#This Row],[Duration]]&lt;=60, "30 to 60 mins", calls[[#This Row],[Duration]]&lt;=120, "1 to 2 hours", TRUE, "More than 2 hours")</f>
        <v>1 to 2 hours</v>
      </c>
      <c r="O374">
        <f>ROUND(calls[[#This Row],[Satisfaction Rating]],0)</f>
        <v>2</v>
      </c>
    </row>
    <row r="375" spans="2:15" x14ac:dyDescent="0.25">
      <c r="B375" t="s">
        <v>396</v>
      </c>
      <c r="C375" t="s">
        <v>17</v>
      </c>
      <c r="D375">
        <f>VLOOKUP(C375,customers[],3,0)</f>
        <v>30</v>
      </c>
      <c r="E375" t="str">
        <f>VLOOKUP(C375,customers[],2,0)</f>
        <v>Female</v>
      </c>
      <c r="F375" t="str">
        <f>VLOOKUP(C375,customers[],4,0)</f>
        <v>Cleveland</v>
      </c>
      <c r="G375">
        <v>110</v>
      </c>
      <c r="H375" s="17" t="s">
        <v>12</v>
      </c>
      <c r="I375" s="18">
        <v>45033</v>
      </c>
      <c r="J375">
        <v>21</v>
      </c>
      <c r="K375">
        <v>2.6</v>
      </c>
      <c r="L375">
        <f>IF(MONTH(calls[[#This Row],[Date of Call]])&lt;=6, YEAR(calls[[#This Row],[Date of Call]]), YEAR(calls[[#This Row],[Date of Call]])+1)</f>
        <v>2023</v>
      </c>
      <c r="M375" t="str">
        <f>TEXT(calls[[#This Row],[Date of Call]],"DDDD")</f>
        <v>الإثنين</v>
      </c>
      <c r="N375" t="str" cm="1">
        <f t="array" ref="N375">_xlfn.IFS(calls[[#This Row],[Duration]]&lt;=10,"Under 10 mins", calls[[#This Row],[Duration]]&lt;=30, "10 to 30 mins", calls[[#This Row],[Duration]]&lt;=60, "30 to 60 mins", calls[[#This Row],[Duration]]&lt;=120, "1 to 2 hours", TRUE, "More than 2 hours")</f>
        <v>1 to 2 hours</v>
      </c>
      <c r="O375">
        <f>ROUND(calls[[#This Row],[Satisfaction Rating]],0)</f>
        <v>3</v>
      </c>
    </row>
    <row r="376" spans="2:15" x14ac:dyDescent="0.25">
      <c r="B376" t="s">
        <v>397</v>
      </c>
      <c r="C376" t="s">
        <v>4</v>
      </c>
      <c r="D376">
        <f>VLOOKUP(C376,customers[],3,0)</f>
        <v>42</v>
      </c>
      <c r="E376" t="str">
        <f>VLOOKUP(C376,customers[],2,0)</f>
        <v>Female</v>
      </c>
      <c r="F376" t="str">
        <f>VLOOKUP(C376,customers[],4,0)</f>
        <v>Cleveland</v>
      </c>
      <c r="G376">
        <v>64</v>
      </c>
      <c r="H376" s="17" t="s">
        <v>9</v>
      </c>
      <c r="I376" s="18">
        <v>45033</v>
      </c>
      <c r="J376">
        <v>88</v>
      </c>
      <c r="K376">
        <v>4.3</v>
      </c>
      <c r="L376">
        <f>IF(MONTH(calls[[#This Row],[Date of Call]])&lt;=6, YEAR(calls[[#This Row],[Date of Call]]), YEAR(calls[[#This Row],[Date of Call]])+1)</f>
        <v>2023</v>
      </c>
      <c r="M376" t="str">
        <f>TEXT(calls[[#This Row],[Date of Call]],"DDDD")</f>
        <v>الإثنين</v>
      </c>
      <c r="N376" t="str" cm="1">
        <f t="array" ref="N376">_xlfn.IFS(calls[[#This Row],[Duration]]&lt;=10,"Under 10 mins", calls[[#This Row],[Duration]]&lt;=30, "10 to 30 mins", calls[[#This Row],[Duration]]&lt;=60, "30 to 60 mins", calls[[#This Row],[Duration]]&lt;=120, "1 to 2 hours", TRUE, "More than 2 hours")</f>
        <v>1 to 2 hours</v>
      </c>
      <c r="O376">
        <f>ROUND(calls[[#This Row],[Satisfaction Rating]],0)</f>
        <v>4</v>
      </c>
    </row>
    <row r="377" spans="2:15" x14ac:dyDescent="0.25">
      <c r="B377" t="s">
        <v>398</v>
      </c>
      <c r="C377" t="s">
        <v>22</v>
      </c>
      <c r="D377">
        <f>VLOOKUP(C377,customers[],3,0)</f>
        <v>37</v>
      </c>
      <c r="E377" t="str">
        <f>VLOOKUP(C377,customers[],2,0)</f>
        <v>Male</v>
      </c>
      <c r="F377" t="str">
        <f>VLOOKUP(C377,customers[],4,0)</f>
        <v>Columbus</v>
      </c>
      <c r="G377">
        <v>105</v>
      </c>
      <c r="H377" s="17" t="s">
        <v>5</v>
      </c>
      <c r="I377" s="18">
        <v>45033</v>
      </c>
      <c r="J377">
        <v>35</v>
      </c>
      <c r="K377">
        <v>4.4000000000000004</v>
      </c>
      <c r="L377">
        <f>IF(MONTH(calls[[#This Row],[Date of Call]])&lt;=6, YEAR(calls[[#This Row],[Date of Call]]), YEAR(calls[[#This Row],[Date of Call]])+1)</f>
        <v>2023</v>
      </c>
      <c r="M377" t="str">
        <f>TEXT(calls[[#This Row],[Date of Call]],"DDDD")</f>
        <v>الإثنين</v>
      </c>
      <c r="N377" t="str" cm="1">
        <f t="array" ref="N377">_xlfn.IFS(calls[[#This Row],[Duration]]&lt;=10,"Under 10 mins", calls[[#This Row],[Duration]]&lt;=30, "10 to 30 mins", calls[[#This Row],[Duration]]&lt;=60, "30 to 60 mins", calls[[#This Row],[Duration]]&lt;=120, "1 to 2 hours", TRUE, "More than 2 hours")</f>
        <v>1 to 2 hours</v>
      </c>
      <c r="O377">
        <f>ROUND(calls[[#This Row],[Satisfaction Rating]],0)</f>
        <v>4</v>
      </c>
    </row>
    <row r="378" spans="2:15" x14ac:dyDescent="0.25">
      <c r="B378" t="s">
        <v>399</v>
      </c>
      <c r="C378" t="s">
        <v>4</v>
      </c>
      <c r="D378">
        <f>VLOOKUP(C378,customers[],3,0)</f>
        <v>42</v>
      </c>
      <c r="E378" t="str">
        <f>VLOOKUP(C378,customers[],2,0)</f>
        <v>Female</v>
      </c>
      <c r="F378" t="str">
        <f>VLOOKUP(C378,customers[],4,0)</f>
        <v>Cleveland</v>
      </c>
      <c r="G378">
        <v>165</v>
      </c>
      <c r="H378" s="17" t="s">
        <v>8</v>
      </c>
      <c r="I378" s="18">
        <v>45033</v>
      </c>
      <c r="J378">
        <v>68</v>
      </c>
      <c r="K378">
        <v>4.3</v>
      </c>
      <c r="L378">
        <f>IF(MONTH(calls[[#This Row],[Date of Call]])&lt;=6, YEAR(calls[[#This Row],[Date of Call]]), YEAR(calls[[#This Row],[Date of Call]])+1)</f>
        <v>2023</v>
      </c>
      <c r="M378" t="str">
        <f>TEXT(calls[[#This Row],[Date of Call]],"DDDD")</f>
        <v>الإثنين</v>
      </c>
      <c r="N378" t="str" cm="1">
        <f t="array" ref="N378">_xlfn.IFS(calls[[#This Row],[Duration]]&lt;=10,"Under 10 mins", calls[[#This Row],[Duration]]&lt;=30, "10 to 30 mins", calls[[#This Row],[Duration]]&lt;=60, "30 to 60 mins", calls[[#This Row],[Duration]]&lt;=120, "1 to 2 hours", TRUE, "More than 2 hours")</f>
        <v>More than 2 hours</v>
      </c>
      <c r="O378">
        <f>ROUND(calls[[#This Row],[Satisfaction Rating]],0)</f>
        <v>4</v>
      </c>
    </row>
    <row r="379" spans="2:15" x14ac:dyDescent="0.25">
      <c r="B379" t="s">
        <v>400</v>
      </c>
      <c r="C379" t="s">
        <v>18</v>
      </c>
      <c r="D379">
        <f>VLOOKUP(C379,customers[],3,0)</f>
        <v>43</v>
      </c>
      <c r="E379" t="str">
        <f>VLOOKUP(C379,customers[],2,0)</f>
        <v>Female</v>
      </c>
      <c r="F379" t="str">
        <f>VLOOKUP(C379,customers[],4,0)</f>
        <v>Cleveland</v>
      </c>
      <c r="G379">
        <v>125</v>
      </c>
      <c r="H379" s="17" t="s">
        <v>8</v>
      </c>
      <c r="I379" s="18">
        <v>45033</v>
      </c>
      <c r="J379">
        <v>148</v>
      </c>
      <c r="K379">
        <v>4.5</v>
      </c>
      <c r="L379">
        <f>IF(MONTH(calls[[#This Row],[Date of Call]])&lt;=6, YEAR(calls[[#This Row],[Date of Call]]), YEAR(calls[[#This Row],[Date of Call]])+1)</f>
        <v>2023</v>
      </c>
      <c r="M379" t="str">
        <f>TEXT(calls[[#This Row],[Date of Call]],"DDDD")</f>
        <v>الإثنين</v>
      </c>
      <c r="N379" t="str" cm="1">
        <f t="array" ref="N379">_xlfn.IFS(calls[[#This Row],[Duration]]&lt;=10,"Under 10 mins", calls[[#This Row],[Duration]]&lt;=30, "10 to 30 mins", calls[[#This Row],[Duration]]&lt;=60, "30 to 60 mins", calls[[#This Row],[Duration]]&lt;=120, "1 to 2 hours", TRUE, "More than 2 hours")</f>
        <v>More than 2 hours</v>
      </c>
      <c r="O379">
        <f>ROUND(calls[[#This Row],[Satisfaction Rating]],0)</f>
        <v>5</v>
      </c>
    </row>
    <row r="380" spans="2:15" x14ac:dyDescent="0.25">
      <c r="B380" t="s">
        <v>401</v>
      </c>
      <c r="C380" t="s">
        <v>22</v>
      </c>
      <c r="D380">
        <f>VLOOKUP(C380,customers[],3,0)</f>
        <v>37</v>
      </c>
      <c r="E380" t="str">
        <f>VLOOKUP(C380,customers[],2,0)</f>
        <v>Male</v>
      </c>
      <c r="F380" t="str">
        <f>VLOOKUP(C380,customers[],4,0)</f>
        <v>Columbus</v>
      </c>
      <c r="G380">
        <v>88</v>
      </c>
      <c r="H380" s="17" t="s">
        <v>9</v>
      </c>
      <c r="I380" s="18">
        <v>45034</v>
      </c>
      <c r="J380">
        <v>81</v>
      </c>
      <c r="K380">
        <v>4.2</v>
      </c>
      <c r="L380">
        <f>IF(MONTH(calls[[#This Row],[Date of Call]])&lt;=6, YEAR(calls[[#This Row],[Date of Call]]), YEAR(calls[[#This Row],[Date of Call]])+1)</f>
        <v>2023</v>
      </c>
      <c r="M380" t="str">
        <f>TEXT(calls[[#This Row],[Date of Call]],"DDDD")</f>
        <v>الثلاثاء</v>
      </c>
      <c r="N380" t="str" cm="1">
        <f t="array" ref="N380">_xlfn.IFS(calls[[#This Row],[Duration]]&lt;=10,"Under 10 mins", calls[[#This Row],[Duration]]&lt;=30, "10 to 30 mins", calls[[#This Row],[Duration]]&lt;=60, "30 to 60 mins", calls[[#This Row],[Duration]]&lt;=120, "1 to 2 hours", TRUE, "More than 2 hours")</f>
        <v>1 to 2 hours</v>
      </c>
      <c r="O380">
        <f>ROUND(calls[[#This Row],[Satisfaction Rating]],0)</f>
        <v>4</v>
      </c>
    </row>
    <row r="381" spans="2:15" x14ac:dyDescent="0.25">
      <c r="B381" t="s">
        <v>402</v>
      </c>
      <c r="C381" t="s">
        <v>13</v>
      </c>
      <c r="D381">
        <f>VLOOKUP(C381,customers[],3,0)</f>
        <v>37</v>
      </c>
      <c r="E381" t="str">
        <f>VLOOKUP(C381,customers[],2,0)</f>
        <v>Female</v>
      </c>
      <c r="F381" t="str">
        <f>VLOOKUP(C381,customers[],4,0)</f>
        <v>Cleveland</v>
      </c>
      <c r="G381">
        <v>6</v>
      </c>
      <c r="H381" s="17" t="s">
        <v>9</v>
      </c>
      <c r="I381" s="18">
        <v>45034</v>
      </c>
      <c r="J381">
        <v>75</v>
      </c>
      <c r="K381">
        <v>3.9</v>
      </c>
      <c r="L381">
        <f>IF(MONTH(calls[[#This Row],[Date of Call]])&lt;=6, YEAR(calls[[#This Row],[Date of Call]]), YEAR(calls[[#This Row],[Date of Call]])+1)</f>
        <v>2023</v>
      </c>
      <c r="M381" t="str">
        <f>TEXT(calls[[#This Row],[Date of Call]],"DDDD")</f>
        <v>الثلاثاء</v>
      </c>
      <c r="N381" t="str" cm="1">
        <f t="array" ref="N381">_xlfn.IFS(calls[[#This Row],[Duration]]&lt;=10,"Under 10 mins", calls[[#This Row],[Duration]]&lt;=30, "10 to 30 mins", calls[[#This Row],[Duration]]&lt;=60, "30 to 60 mins", calls[[#This Row],[Duration]]&lt;=120, "1 to 2 hours", TRUE, "More than 2 hours")</f>
        <v>Under 10 mins</v>
      </c>
      <c r="O381">
        <f>ROUND(calls[[#This Row],[Satisfaction Rating]],0)</f>
        <v>4</v>
      </c>
    </row>
    <row r="382" spans="2:15" x14ac:dyDescent="0.25">
      <c r="B382" t="s">
        <v>403</v>
      </c>
      <c r="C382" t="s">
        <v>21</v>
      </c>
      <c r="D382">
        <f>VLOOKUP(C382,customers[],3,0)</f>
        <v>25</v>
      </c>
      <c r="E382" t="str">
        <f>VLOOKUP(C382,customers[],2,0)</f>
        <v>Female</v>
      </c>
      <c r="F382" t="str">
        <f>VLOOKUP(C382,customers[],4,0)</f>
        <v>Columbus</v>
      </c>
      <c r="G382">
        <v>69</v>
      </c>
      <c r="H382" s="17" t="s">
        <v>10</v>
      </c>
      <c r="I382" s="18">
        <v>45035</v>
      </c>
      <c r="J382">
        <v>32</v>
      </c>
      <c r="K382">
        <v>3.6</v>
      </c>
      <c r="L382">
        <f>IF(MONTH(calls[[#This Row],[Date of Call]])&lt;=6, YEAR(calls[[#This Row],[Date of Call]]), YEAR(calls[[#This Row],[Date of Call]])+1)</f>
        <v>2023</v>
      </c>
      <c r="M382" t="str">
        <f>TEXT(calls[[#This Row],[Date of Call]],"DDDD")</f>
        <v>الأربعاء</v>
      </c>
      <c r="N382" t="str" cm="1">
        <f t="array" ref="N382">_xlfn.IFS(calls[[#This Row],[Duration]]&lt;=10,"Under 10 mins", calls[[#This Row],[Duration]]&lt;=30, "10 to 30 mins", calls[[#This Row],[Duration]]&lt;=60, "30 to 60 mins", calls[[#This Row],[Duration]]&lt;=120, "1 to 2 hours", TRUE, "More than 2 hours")</f>
        <v>1 to 2 hours</v>
      </c>
      <c r="O382">
        <f>ROUND(calls[[#This Row],[Satisfaction Rating]],0)</f>
        <v>4</v>
      </c>
    </row>
    <row r="383" spans="2:15" x14ac:dyDescent="0.25">
      <c r="B383" t="s">
        <v>404</v>
      </c>
      <c r="C383" t="s">
        <v>16</v>
      </c>
      <c r="D383">
        <f>VLOOKUP(C383,customers[],3,0)</f>
        <v>41</v>
      </c>
      <c r="E383" t="str">
        <f>VLOOKUP(C383,customers[],2,0)</f>
        <v>Male</v>
      </c>
      <c r="F383" t="str">
        <f>VLOOKUP(C383,customers[],4,0)</f>
        <v>Columbus</v>
      </c>
      <c r="G383">
        <v>107</v>
      </c>
      <c r="H383" s="17" t="s">
        <v>10</v>
      </c>
      <c r="I383" s="18">
        <v>45035</v>
      </c>
      <c r="J383">
        <v>156</v>
      </c>
      <c r="K383">
        <v>3.8</v>
      </c>
      <c r="L383">
        <f>IF(MONTH(calls[[#This Row],[Date of Call]])&lt;=6, YEAR(calls[[#This Row],[Date of Call]]), YEAR(calls[[#This Row],[Date of Call]])+1)</f>
        <v>2023</v>
      </c>
      <c r="M383" t="str">
        <f>TEXT(calls[[#This Row],[Date of Call]],"DDDD")</f>
        <v>الأربعاء</v>
      </c>
      <c r="N383" t="str" cm="1">
        <f t="array" ref="N383">_xlfn.IFS(calls[[#This Row],[Duration]]&lt;=10,"Under 10 mins", calls[[#This Row],[Duration]]&lt;=30, "10 to 30 mins", calls[[#This Row],[Duration]]&lt;=60, "30 to 60 mins", calls[[#This Row],[Duration]]&lt;=120, "1 to 2 hours", TRUE, "More than 2 hours")</f>
        <v>1 to 2 hours</v>
      </c>
      <c r="O383">
        <f>ROUND(calls[[#This Row],[Satisfaction Rating]],0)</f>
        <v>4</v>
      </c>
    </row>
    <row r="384" spans="2:15" x14ac:dyDescent="0.25">
      <c r="B384" t="s">
        <v>405</v>
      </c>
      <c r="C384" t="s">
        <v>11</v>
      </c>
      <c r="D384">
        <f>VLOOKUP(C384,customers[],3,0)</f>
        <v>36</v>
      </c>
      <c r="E384" t="str">
        <f>VLOOKUP(C384,customers[],2,0)</f>
        <v>Male</v>
      </c>
      <c r="F384" t="str">
        <f>VLOOKUP(C384,customers[],4,0)</f>
        <v>Cincinnati</v>
      </c>
      <c r="G384">
        <v>90</v>
      </c>
      <c r="H384" s="17" t="s">
        <v>8</v>
      </c>
      <c r="I384" s="18">
        <v>45035</v>
      </c>
      <c r="J384">
        <v>99</v>
      </c>
      <c r="K384">
        <v>4.9000000000000004</v>
      </c>
      <c r="L384">
        <f>IF(MONTH(calls[[#This Row],[Date of Call]])&lt;=6, YEAR(calls[[#This Row],[Date of Call]]), YEAR(calls[[#This Row],[Date of Call]])+1)</f>
        <v>2023</v>
      </c>
      <c r="M384" t="str">
        <f>TEXT(calls[[#This Row],[Date of Call]],"DDDD")</f>
        <v>الأربعاء</v>
      </c>
      <c r="N384" t="str" cm="1">
        <f t="array" ref="N384">_xlfn.IFS(calls[[#This Row],[Duration]]&lt;=10,"Under 10 mins", calls[[#This Row],[Duration]]&lt;=30, "10 to 30 mins", calls[[#This Row],[Duration]]&lt;=60, "30 to 60 mins", calls[[#This Row],[Duration]]&lt;=120, "1 to 2 hours", TRUE, "More than 2 hours")</f>
        <v>1 to 2 hours</v>
      </c>
      <c r="O384">
        <f>ROUND(calls[[#This Row],[Satisfaction Rating]],0)</f>
        <v>5</v>
      </c>
    </row>
    <row r="385" spans="2:15" x14ac:dyDescent="0.25">
      <c r="B385" t="s">
        <v>406</v>
      </c>
      <c r="C385" t="s">
        <v>19</v>
      </c>
      <c r="D385">
        <f>VLOOKUP(C385,customers[],3,0)</f>
        <v>26</v>
      </c>
      <c r="E385" t="str">
        <f>VLOOKUP(C385,customers[],2,0)</f>
        <v>Male</v>
      </c>
      <c r="F385" t="str">
        <f>VLOOKUP(C385,customers[],4,0)</f>
        <v>Cincinnati</v>
      </c>
      <c r="G385">
        <v>120</v>
      </c>
      <c r="H385" s="17" t="s">
        <v>5</v>
      </c>
      <c r="I385" s="18">
        <v>45035</v>
      </c>
      <c r="J385">
        <v>26</v>
      </c>
      <c r="K385">
        <v>4</v>
      </c>
      <c r="L385">
        <f>IF(MONTH(calls[[#This Row],[Date of Call]])&lt;=6, YEAR(calls[[#This Row],[Date of Call]]), YEAR(calls[[#This Row],[Date of Call]])+1)</f>
        <v>2023</v>
      </c>
      <c r="M385" t="str">
        <f>TEXT(calls[[#This Row],[Date of Call]],"DDDD")</f>
        <v>الأربعاء</v>
      </c>
      <c r="N385" t="str" cm="1">
        <f t="array" ref="N385">_xlfn.IFS(calls[[#This Row],[Duration]]&lt;=10,"Under 10 mins", calls[[#This Row],[Duration]]&lt;=30, "10 to 30 mins", calls[[#This Row],[Duration]]&lt;=60, "30 to 60 mins", calls[[#This Row],[Duration]]&lt;=120, "1 to 2 hours", TRUE, "More than 2 hours")</f>
        <v>1 to 2 hours</v>
      </c>
      <c r="O385">
        <f>ROUND(calls[[#This Row],[Satisfaction Rating]],0)</f>
        <v>4</v>
      </c>
    </row>
    <row r="386" spans="2:15" x14ac:dyDescent="0.25">
      <c r="B386" t="s">
        <v>407</v>
      </c>
      <c r="C386" t="s">
        <v>7</v>
      </c>
      <c r="D386">
        <f>VLOOKUP(C386,customers[],3,0)</f>
        <v>30</v>
      </c>
      <c r="E386" t="str">
        <f>VLOOKUP(C386,customers[],2,0)</f>
        <v>Female</v>
      </c>
      <c r="F386" t="str">
        <f>VLOOKUP(C386,customers[],4,0)</f>
        <v>Cincinnati</v>
      </c>
      <c r="G386">
        <v>47</v>
      </c>
      <c r="H386" s="17" t="s">
        <v>10</v>
      </c>
      <c r="I386" s="18">
        <v>45035</v>
      </c>
      <c r="J386">
        <v>84</v>
      </c>
      <c r="K386">
        <v>4.0999999999999996</v>
      </c>
      <c r="L386">
        <f>IF(MONTH(calls[[#This Row],[Date of Call]])&lt;=6, YEAR(calls[[#This Row],[Date of Call]]), YEAR(calls[[#This Row],[Date of Call]])+1)</f>
        <v>2023</v>
      </c>
      <c r="M386" t="str">
        <f>TEXT(calls[[#This Row],[Date of Call]],"DDDD")</f>
        <v>الأربعاء</v>
      </c>
      <c r="N386" t="str" cm="1">
        <f t="array" ref="N386">_xlfn.IFS(calls[[#This Row],[Duration]]&lt;=10,"Under 10 mins", calls[[#This Row],[Duration]]&lt;=30, "10 to 30 mins", calls[[#This Row],[Duration]]&lt;=60, "30 to 60 mins", calls[[#This Row],[Duration]]&lt;=120, "1 to 2 hours", TRUE, "More than 2 hours")</f>
        <v>30 to 60 mins</v>
      </c>
      <c r="O386">
        <f>ROUND(calls[[#This Row],[Satisfaction Rating]],0)</f>
        <v>4</v>
      </c>
    </row>
    <row r="387" spans="2:15" x14ac:dyDescent="0.25">
      <c r="B387" t="s">
        <v>408</v>
      </c>
      <c r="C387" t="s">
        <v>20</v>
      </c>
      <c r="D387">
        <f>VLOOKUP(C387,customers[],3,0)</f>
        <v>38</v>
      </c>
      <c r="E387" t="str">
        <f>VLOOKUP(C387,customers[],2,0)</f>
        <v>Female</v>
      </c>
      <c r="F387" t="str">
        <f>VLOOKUP(C387,customers[],4,0)</f>
        <v>Columbus</v>
      </c>
      <c r="G387">
        <v>60</v>
      </c>
      <c r="H387" s="17" t="s">
        <v>5</v>
      </c>
      <c r="I387" s="18">
        <v>45035</v>
      </c>
      <c r="J387">
        <v>84</v>
      </c>
      <c r="K387">
        <v>4.8</v>
      </c>
      <c r="L387">
        <f>IF(MONTH(calls[[#This Row],[Date of Call]])&lt;=6, YEAR(calls[[#This Row],[Date of Call]]), YEAR(calls[[#This Row],[Date of Call]])+1)</f>
        <v>2023</v>
      </c>
      <c r="M387" t="str">
        <f>TEXT(calls[[#This Row],[Date of Call]],"DDDD")</f>
        <v>الأربعاء</v>
      </c>
      <c r="N387" t="str" cm="1">
        <f t="array" ref="N387">_xlfn.IFS(calls[[#This Row],[Duration]]&lt;=10,"Under 10 mins", calls[[#This Row],[Duration]]&lt;=30, "10 to 30 mins", calls[[#This Row],[Duration]]&lt;=60, "30 to 60 mins", calls[[#This Row],[Duration]]&lt;=120, "1 to 2 hours", TRUE, "More than 2 hours")</f>
        <v>30 to 60 mins</v>
      </c>
      <c r="O387">
        <f>ROUND(calls[[#This Row],[Satisfaction Rating]],0)</f>
        <v>5</v>
      </c>
    </row>
    <row r="388" spans="2:15" x14ac:dyDescent="0.25">
      <c r="B388" t="s">
        <v>409</v>
      </c>
      <c r="C388" t="s">
        <v>6</v>
      </c>
      <c r="D388">
        <f>VLOOKUP(C388,customers[],3,0)</f>
        <v>23</v>
      </c>
      <c r="E388" t="str">
        <f>VLOOKUP(C388,customers[],2,0)</f>
        <v>Male</v>
      </c>
      <c r="F388" t="str">
        <f>VLOOKUP(C388,customers[],4,0)</f>
        <v>Columbus</v>
      </c>
      <c r="G388">
        <v>64</v>
      </c>
      <c r="H388" s="17" t="s">
        <v>8</v>
      </c>
      <c r="I388" s="18">
        <v>45035</v>
      </c>
      <c r="J388">
        <v>170</v>
      </c>
      <c r="K388">
        <v>2.2999999999999998</v>
      </c>
      <c r="L388">
        <f>IF(MONTH(calls[[#This Row],[Date of Call]])&lt;=6, YEAR(calls[[#This Row],[Date of Call]]), YEAR(calls[[#This Row],[Date of Call]])+1)</f>
        <v>2023</v>
      </c>
      <c r="M388" t="str">
        <f>TEXT(calls[[#This Row],[Date of Call]],"DDDD")</f>
        <v>الأربعاء</v>
      </c>
      <c r="N388" t="str" cm="1">
        <f t="array" ref="N388">_xlfn.IFS(calls[[#This Row],[Duration]]&lt;=10,"Under 10 mins", calls[[#This Row],[Duration]]&lt;=30, "10 to 30 mins", calls[[#This Row],[Duration]]&lt;=60, "30 to 60 mins", calls[[#This Row],[Duration]]&lt;=120, "1 to 2 hours", TRUE, "More than 2 hours")</f>
        <v>1 to 2 hours</v>
      </c>
      <c r="O388">
        <f>ROUND(calls[[#This Row],[Satisfaction Rating]],0)</f>
        <v>2</v>
      </c>
    </row>
    <row r="389" spans="2:15" x14ac:dyDescent="0.25">
      <c r="B389" t="s">
        <v>410</v>
      </c>
      <c r="C389" t="s">
        <v>4</v>
      </c>
      <c r="D389">
        <f>VLOOKUP(C389,customers[],3,0)</f>
        <v>42</v>
      </c>
      <c r="E389" t="str">
        <f>VLOOKUP(C389,customers[],2,0)</f>
        <v>Female</v>
      </c>
      <c r="F389" t="str">
        <f>VLOOKUP(C389,customers[],4,0)</f>
        <v>Cleveland</v>
      </c>
      <c r="G389">
        <v>62</v>
      </c>
      <c r="H389" s="17" t="s">
        <v>10</v>
      </c>
      <c r="I389" s="18">
        <v>45035</v>
      </c>
      <c r="J389">
        <v>35</v>
      </c>
      <c r="K389">
        <v>4.4000000000000004</v>
      </c>
      <c r="L389">
        <f>IF(MONTH(calls[[#This Row],[Date of Call]])&lt;=6, YEAR(calls[[#This Row],[Date of Call]]), YEAR(calls[[#This Row],[Date of Call]])+1)</f>
        <v>2023</v>
      </c>
      <c r="M389" t="str">
        <f>TEXT(calls[[#This Row],[Date of Call]],"DDDD")</f>
        <v>الأربعاء</v>
      </c>
      <c r="N389" t="str" cm="1">
        <f t="array" ref="N389">_xlfn.IFS(calls[[#This Row],[Duration]]&lt;=10,"Under 10 mins", calls[[#This Row],[Duration]]&lt;=30, "10 to 30 mins", calls[[#This Row],[Duration]]&lt;=60, "30 to 60 mins", calls[[#This Row],[Duration]]&lt;=120, "1 to 2 hours", TRUE, "More than 2 hours")</f>
        <v>1 to 2 hours</v>
      </c>
      <c r="O389">
        <f>ROUND(calls[[#This Row],[Satisfaction Rating]],0)</f>
        <v>4</v>
      </c>
    </row>
    <row r="390" spans="2:15" x14ac:dyDescent="0.25">
      <c r="B390" t="s">
        <v>411</v>
      </c>
      <c r="C390" t="s">
        <v>17</v>
      </c>
      <c r="D390">
        <f>VLOOKUP(C390,customers[],3,0)</f>
        <v>30</v>
      </c>
      <c r="E390" t="str">
        <f>VLOOKUP(C390,customers[],2,0)</f>
        <v>Female</v>
      </c>
      <c r="F390" t="str">
        <f>VLOOKUP(C390,customers[],4,0)</f>
        <v>Cleveland</v>
      </c>
      <c r="G390">
        <v>88</v>
      </c>
      <c r="H390" s="17" t="s">
        <v>10</v>
      </c>
      <c r="I390" s="18">
        <v>45036</v>
      </c>
      <c r="J390">
        <v>35</v>
      </c>
      <c r="K390">
        <v>3.8</v>
      </c>
      <c r="L390">
        <f>IF(MONTH(calls[[#This Row],[Date of Call]])&lt;=6, YEAR(calls[[#This Row],[Date of Call]]), YEAR(calls[[#This Row],[Date of Call]])+1)</f>
        <v>2023</v>
      </c>
      <c r="M390" t="str">
        <f>TEXT(calls[[#This Row],[Date of Call]],"DDDD")</f>
        <v>الخميس</v>
      </c>
      <c r="N390" t="str" cm="1">
        <f t="array" ref="N390">_xlfn.IFS(calls[[#This Row],[Duration]]&lt;=10,"Under 10 mins", calls[[#This Row],[Duration]]&lt;=30, "10 to 30 mins", calls[[#This Row],[Duration]]&lt;=60, "30 to 60 mins", calls[[#This Row],[Duration]]&lt;=120, "1 to 2 hours", TRUE, "More than 2 hours")</f>
        <v>1 to 2 hours</v>
      </c>
      <c r="O390">
        <f>ROUND(calls[[#This Row],[Satisfaction Rating]],0)</f>
        <v>4</v>
      </c>
    </row>
    <row r="391" spans="2:15" x14ac:dyDescent="0.25">
      <c r="B391" t="s">
        <v>412</v>
      </c>
      <c r="C391" t="s">
        <v>18</v>
      </c>
      <c r="D391">
        <f>VLOOKUP(C391,customers[],3,0)</f>
        <v>43</v>
      </c>
      <c r="E391" t="str">
        <f>VLOOKUP(C391,customers[],2,0)</f>
        <v>Female</v>
      </c>
      <c r="F391" t="str">
        <f>VLOOKUP(C391,customers[],4,0)</f>
        <v>Cleveland</v>
      </c>
      <c r="G391">
        <v>116</v>
      </c>
      <c r="H391" s="17" t="s">
        <v>10</v>
      </c>
      <c r="I391" s="18">
        <v>45036</v>
      </c>
      <c r="J391">
        <v>132</v>
      </c>
      <c r="K391">
        <v>5</v>
      </c>
      <c r="L391">
        <f>IF(MONTH(calls[[#This Row],[Date of Call]])&lt;=6, YEAR(calls[[#This Row],[Date of Call]]), YEAR(calls[[#This Row],[Date of Call]])+1)</f>
        <v>2023</v>
      </c>
      <c r="M391" t="str">
        <f>TEXT(calls[[#This Row],[Date of Call]],"DDDD")</f>
        <v>الخميس</v>
      </c>
      <c r="N391" t="str" cm="1">
        <f t="array" ref="N391">_xlfn.IFS(calls[[#This Row],[Duration]]&lt;=10,"Under 10 mins", calls[[#This Row],[Duration]]&lt;=30, "10 to 30 mins", calls[[#This Row],[Duration]]&lt;=60, "30 to 60 mins", calls[[#This Row],[Duration]]&lt;=120, "1 to 2 hours", TRUE, "More than 2 hours")</f>
        <v>1 to 2 hours</v>
      </c>
      <c r="O391">
        <f>ROUND(calls[[#This Row],[Satisfaction Rating]],0)</f>
        <v>5</v>
      </c>
    </row>
    <row r="392" spans="2:15" x14ac:dyDescent="0.25">
      <c r="B392" t="s">
        <v>413</v>
      </c>
      <c r="C392" t="s">
        <v>11</v>
      </c>
      <c r="D392">
        <f>VLOOKUP(C392,customers[],3,0)</f>
        <v>36</v>
      </c>
      <c r="E392" t="str">
        <f>VLOOKUP(C392,customers[],2,0)</f>
        <v>Male</v>
      </c>
      <c r="F392" t="str">
        <f>VLOOKUP(C392,customers[],4,0)</f>
        <v>Cincinnati</v>
      </c>
      <c r="G392">
        <v>82</v>
      </c>
      <c r="H392" s="17" t="s">
        <v>9</v>
      </c>
      <c r="I392" s="18">
        <v>45037</v>
      </c>
      <c r="J392">
        <v>144</v>
      </c>
      <c r="K392">
        <v>3.3</v>
      </c>
      <c r="L392">
        <f>IF(MONTH(calls[[#This Row],[Date of Call]])&lt;=6, YEAR(calls[[#This Row],[Date of Call]]), YEAR(calls[[#This Row],[Date of Call]])+1)</f>
        <v>2023</v>
      </c>
      <c r="M392" t="str">
        <f>TEXT(calls[[#This Row],[Date of Call]],"DDDD")</f>
        <v>الجمعة</v>
      </c>
      <c r="N392" t="str" cm="1">
        <f t="array" ref="N392">_xlfn.IFS(calls[[#This Row],[Duration]]&lt;=10,"Under 10 mins", calls[[#This Row],[Duration]]&lt;=30, "10 to 30 mins", calls[[#This Row],[Duration]]&lt;=60, "30 to 60 mins", calls[[#This Row],[Duration]]&lt;=120, "1 to 2 hours", TRUE, "More than 2 hours")</f>
        <v>1 to 2 hours</v>
      </c>
      <c r="O392">
        <f>ROUND(calls[[#This Row],[Satisfaction Rating]],0)</f>
        <v>3</v>
      </c>
    </row>
    <row r="393" spans="2:15" x14ac:dyDescent="0.25">
      <c r="B393" t="s">
        <v>414</v>
      </c>
      <c r="C393" t="s">
        <v>4</v>
      </c>
      <c r="D393">
        <f>VLOOKUP(C393,customers[],3,0)</f>
        <v>42</v>
      </c>
      <c r="E393" t="str">
        <f>VLOOKUP(C393,customers[],2,0)</f>
        <v>Female</v>
      </c>
      <c r="F393" t="str">
        <f>VLOOKUP(C393,customers[],4,0)</f>
        <v>Cleveland</v>
      </c>
      <c r="G393">
        <v>99</v>
      </c>
      <c r="H393" s="17" t="s">
        <v>8</v>
      </c>
      <c r="I393" s="18">
        <v>45037</v>
      </c>
      <c r="J393">
        <v>48</v>
      </c>
      <c r="K393">
        <v>5</v>
      </c>
      <c r="L393">
        <f>IF(MONTH(calls[[#This Row],[Date of Call]])&lt;=6, YEAR(calls[[#This Row],[Date of Call]]), YEAR(calls[[#This Row],[Date of Call]])+1)</f>
        <v>2023</v>
      </c>
      <c r="M393" t="str">
        <f>TEXT(calls[[#This Row],[Date of Call]],"DDDD")</f>
        <v>الجمعة</v>
      </c>
      <c r="N393" t="str" cm="1">
        <f t="array" ref="N393">_xlfn.IFS(calls[[#This Row],[Duration]]&lt;=10,"Under 10 mins", calls[[#This Row],[Duration]]&lt;=30, "10 to 30 mins", calls[[#This Row],[Duration]]&lt;=60, "30 to 60 mins", calls[[#This Row],[Duration]]&lt;=120, "1 to 2 hours", TRUE, "More than 2 hours")</f>
        <v>1 to 2 hours</v>
      </c>
      <c r="O393">
        <f>ROUND(calls[[#This Row],[Satisfaction Rating]],0)</f>
        <v>5</v>
      </c>
    </row>
    <row r="394" spans="2:15" x14ac:dyDescent="0.25">
      <c r="B394" t="s">
        <v>415</v>
      </c>
      <c r="C394" t="s">
        <v>4</v>
      </c>
      <c r="D394">
        <f>VLOOKUP(C394,customers[],3,0)</f>
        <v>42</v>
      </c>
      <c r="E394" t="str">
        <f>VLOOKUP(C394,customers[],2,0)</f>
        <v>Female</v>
      </c>
      <c r="F394" t="str">
        <f>VLOOKUP(C394,customers[],4,0)</f>
        <v>Cleveland</v>
      </c>
      <c r="G394">
        <v>55</v>
      </c>
      <c r="H394" s="17" t="s">
        <v>9</v>
      </c>
      <c r="I394" s="18">
        <v>45037</v>
      </c>
      <c r="J394">
        <v>200</v>
      </c>
      <c r="K394">
        <v>2.2999999999999998</v>
      </c>
      <c r="L394">
        <f>IF(MONTH(calls[[#This Row],[Date of Call]])&lt;=6, YEAR(calls[[#This Row],[Date of Call]]), YEAR(calls[[#This Row],[Date of Call]])+1)</f>
        <v>2023</v>
      </c>
      <c r="M394" t="str">
        <f>TEXT(calls[[#This Row],[Date of Call]],"DDDD")</f>
        <v>الجمعة</v>
      </c>
      <c r="N394" t="str" cm="1">
        <f t="array" ref="N394">_xlfn.IFS(calls[[#This Row],[Duration]]&lt;=10,"Under 10 mins", calls[[#This Row],[Duration]]&lt;=30, "10 to 30 mins", calls[[#This Row],[Duration]]&lt;=60, "30 to 60 mins", calls[[#This Row],[Duration]]&lt;=120, "1 to 2 hours", TRUE, "More than 2 hours")</f>
        <v>30 to 60 mins</v>
      </c>
      <c r="O394">
        <f>ROUND(calls[[#This Row],[Satisfaction Rating]],0)</f>
        <v>2</v>
      </c>
    </row>
    <row r="395" spans="2:15" x14ac:dyDescent="0.25">
      <c r="B395" t="s">
        <v>416</v>
      </c>
      <c r="C395" t="s">
        <v>6</v>
      </c>
      <c r="D395">
        <f>VLOOKUP(C395,customers[],3,0)</f>
        <v>23</v>
      </c>
      <c r="E395" t="str">
        <f>VLOOKUP(C395,customers[],2,0)</f>
        <v>Male</v>
      </c>
      <c r="F395" t="str">
        <f>VLOOKUP(C395,customers[],4,0)</f>
        <v>Columbus</v>
      </c>
      <c r="G395">
        <v>61</v>
      </c>
      <c r="H395" s="17" t="s">
        <v>5</v>
      </c>
      <c r="I395" s="18">
        <v>45037</v>
      </c>
      <c r="J395">
        <v>38</v>
      </c>
      <c r="K395">
        <v>4.8</v>
      </c>
      <c r="L395">
        <f>IF(MONTH(calls[[#This Row],[Date of Call]])&lt;=6, YEAR(calls[[#This Row],[Date of Call]]), YEAR(calls[[#This Row],[Date of Call]])+1)</f>
        <v>2023</v>
      </c>
      <c r="M395" t="str">
        <f>TEXT(calls[[#This Row],[Date of Call]],"DDDD")</f>
        <v>الجمعة</v>
      </c>
      <c r="N395" t="str" cm="1">
        <f t="array" ref="N395">_xlfn.IFS(calls[[#This Row],[Duration]]&lt;=10,"Under 10 mins", calls[[#This Row],[Duration]]&lt;=30, "10 to 30 mins", calls[[#This Row],[Duration]]&lt;=60, "30 to 60 mins", calls[[#This Row],[Duration]]&lt;=120, "1 to 2 hours", TRUE, "More than 2 hours")</f>
        <v>1 to 2 hours</v>
      </c>
      <c r="O395">
        <f>ROUND(calls[[#This Row],[Satisfaction Rating]],0)</f>
        <v>5</v>
      </c>
    </row>
    <row r="396" spans="2:15" x14ac:dyDescent="0.25">
      <c r="B396" t="s">
        <v>417</v>
      </c>
      <c r="C396" t="s">
        <v>18</v>
      </c>
      <c r="D396">
        <f>VLOOKUP(C396,customers[],3,0)</f>
        <v>43</v>
      </c>
      <c r="E396" t="str">
        <f>VLOOKUP(C396,customers[],2,0)</f>
        <v>Female</v>
      </c>
      <c r="F396" t="str">
        <f>VLOOKUP(C396,customers[],4,0)</f>
        <v>Cleveland</v>
      </c>
      <c r="G396">
        <v>36</v>
      </c>
      <c r="H396" s="17" t="s">
        <v>12</v>
      </c>
      <c r="I396" s="18">
        <v>45037</v>
      </c>
      <c r="J396">
        <v>81</v>
      </c>
      <c r="K396">
        <v>3.7</v>
      </c>
      <c r="L396">
        <f>IF(MONTH(calls[[#This Row],[Date of Call]])&lt;=6, YEAR(calls[[#This Row],[Date of Call]]), YEAR(calls[[#This Row],[Date of Call]])+1)</f>
        <v>2023</v>
      </c>
      <c r="M396" t="str">
        <f>TEXT(calls[[#This Row],[Date of Call]],"DDDD")</f>
        <v>الجمعة</v>
      </c>
      <c r="N396" t="str" cm="1">
        <f t="array" ref="N396">_xlfn.IFS(calls[[#This Row],[Duration]]&lt;=10,"Under 10 mins", calls[[#This Row],[Duration]]&lt;=30, "10 to 30 mins", calls[[#This Row],[Duration]]&lt;=60, "30 to 60 mins", calls[[#This Row],[Duration]]&lt;=120, "1 to 2 hours", TRUE, "More than 2 hours")</f>
        <v>30 to 60 mins</v>
      </c>
      <c r="O396">
        <f>ROUND(calls[[#This Row],[Satisfaction Rating]],0)</f>
        <v>4</v>
      </c>
    </row>
    <row r="397" spans="2:15" x14ac:dyDescent="0.25">
      <c r="B397" t="s">
        <v>418</v>
      </c>
      <c r="C397" t="s">
        <v>11</v>
      </c>
      <c r="D397">
        <f>VLOOKUP(C397,customers[],3,0)</f>
        <v>36</v>
      </c>
      <c r="E397" t="str">
        <f>VLOOKUP(C397,customers[],2,0)</f>
        <v>Male</v>
      </c>
      <c r="F397" t="str">
        <f>VLOOKUP(C397,customers[],4,0)</f>
        <v>Cincinnati</v>
      </c>
      <c r="G397">
        <v>123</v>
      </c>
      <c r="H397" s="17" t="s">
        <v>10</v>
      </c>
      <c r="I397" s="18">
        <v>45037</v>
      </c>
      <c r="J397">
        <v>120</v>
      </c>
      <c r="K397">
        <v>4.2</v>
      </c>
      <c r="L397">
        <f>IF(MONTH(calls[[#This Row],[Date of Call]])&lt;=6, YEAR(calls[[#This Row],[Date of Call]]), YEAR(calls[[#This Row],[Date of Call]])+1)</f>
        <v>2023</v>
      </c>
      <c r="M397" t="str">
        <f>TEXT(calls[[#This Row],[Date of Call]],"DDDD")</f>
        <v>الجمعة</v>
      </c>
      <c r="N397" t="str" cm="1">
        <f t="array" ref="N397">_xlfn.IFS(calls[[#This Row],[Duration]]&lt;=10,"Under 10 mins", calls[[#This Row],[Duration]]&lt;=30, "10 to 30 mins", calls[[#This Row],[Duration]]&lt;=60, "30 to 60 mins", calls[[#This Row],[Duration]]&lt;=120, "1 to 2 hours", TRUE, "More than 2 hours")</f>
        <v>More than 2 hours</v>
      </c>
      <c r="O397">
        <f>ROUND(calls[[#This Row],[Satisfaction Rating]],0)</f>
        <v>4</v>
      </c>
    </row>
    <row r="398" spans="2:15" x14ac:dyDescent="0.25">
      <c r="B398" t="s">
        <v>419</v>
      </c>
      <c r="C398" t="s">
        <v>23</v>
      </c>
      <c r="D398">
        <f>VLOOKUP(C398,customers[],3,0)</f>
        <v>31</v>
      </c>
      <c r="E398" t="str">
        <f>VLOOKUP(C398,customers[],2,0)</f>
        <v>Male</v>
      </c>
      <c r="F398" t="str">
        <f>VLOOKUP(C398,customers[],4,0)</f>
        <v>Cleveland</v>
      </c>
      <c r="G398">
        <v>24</v>
      </c>
      <c r="H398" s="17" t="s">
        <v>5</v>
      </c>
      <c r="I398" s="18">
        <v>45037</v>
      </c>
      <c r="J398">
        <v>74</v>
      </c>
      <c r="K398">
        <v>4.8</v>
      </c>
      <c r="L398">
        <f>IF(MONTH(calls[[#This Row],[Date of Call]])&lt;=6, YEAR(calls[[#This Row],[Date of Call]]), YEAR(calls[[#This Row],[Date of Call]])+1)</f>
        <v>2023</v>
      </c>
      <c r="M398" t="str">
        <f>TEXT(calls[[#This Row],[Date of Call]],"DDDD")</f>
        <v>الجمعة</v>
      </c>
      <c r="N398" t="str" cm="1">
        <f t="array" ref="N398">_xlfn.IFS(calls[[#This Row],[Duration]]&lt;=10,"Under 10 mins", calls[[#This Row],[Duration]]&lt;=30, "10 to 30 mins", calls[[#This Row],[Duration]]&lt;=60, "30 to 60 mins", calls[[#This Row],[Duration]]&lt;=120, "1 to 2 hours", TRUE, "More than 2 hours")</f>
        <v>10 to 30 mins</v>
      </c>
      <c r="O398">
        <f>ROUND(calls[[#This Row],[Satisfaction Rating]],0)</f>
        <v>5</v>
      </c>
    </row>
    <row r="399" spans="2:15" x14ac:dyDescent="0.25">
      <c r="B399" t="s">
        <v>420</v>
      </c>
      <c r="C399" t="s">
        <v>11</v>
      </c>
      <c r="D399">
        <f>VLOOKUP(C399,customers[],3,0)</f>
        <v>36</v>
      </c>
      <c r="E399" t="str">
        <f>VLOOKUP(C399,customers[],2,0)</f>
        <v>Male</v>
      </c>
      <c r="F399" t="str">
        <f>VLOOKUP(C399,customers[],4,0)</f>
        <v>Cincinnati</v>
      </c>
      <c r="G399">
        <v>43</v>
      </c>
      <c r="H399" s="17" t="s">
        <v>10</v>
      </c>
      <c r="I399" s="18">
        <v>45038</v>
      </c>
      <c r="J399">
        <v>128</v>
      </c>
      <c r="K399">
        <v>4.7</v>
      </c>
      <c r="L399">
        <f>IF(MONTH(calls[[#This Row],[Date of Call]])&lt;=6, YEAR(calls[[#This Row],[Date of Call]]), YEAR(calls[[#This Row],[Date of Call]])+1)</f>
        <v>2023</v>
      </c>
      <c r="M399" t="str">
        <f>TEXT(calls[[#This Row],[Date of Call]],"DDDD")</f>
        <v>السبت</v>
      </c>
      <c r="N399" t="str" cm="1">
        <f t="array" ref="N399">_xlfn.IFS(calls[[#This Row],[Duration]]&lt;=10,"Under 10 mins", calls[[#This Row],[Duration]]&lt;=30, "10 to 30 mins", calls[[#This Row],[Duration]]&lt;=60, "30 to 60 mins", calls[[#This Row],[Duration]]&lt;=120, "1 to 2 hours", TRUE, "More than 2 hours")</f>
        <v>30 to 60 mins</v>
      </c>
      <c r="O399">
        <f>ROUND(calls[[#This Row],[Satisfaction Rating]],0)</f>
        <v>5</v>
      </c>
    </row>
    <row r="400" spans="2:15" x14ac:dyDescent="0.25">
      <c r="B400" t="s">
        <v>421</v>
      </c>
      <c r="C400" t="s">
        <v>20</v>
      </c>
      <c r="D400">
        <f>VLOOKUP(C400,customers[],3,0)</f>
        <v>38</v>
      </c>
      <c r="E400" t="str">
        <f>VLOOKUP(C400,customers[],2,0)</f>
        <v>Female</v>
      </c>
      <c r="F400" t="str">
        <f>VLOOKUP(C400,customers[],4,0)</f>
        <v>Columbus</v>
      </c>
      <c r="G400">
        <v>95</v>
      </c>
      <c r="H400" s="17" t="s">
        <v>8</v>
      </c>
      <c r="I400" s="18">
        <v>45038</v>
      </c>
      <c r="J400">
        <v>21</v>
      </c>
      <c r="K400">
        <v>3.9</v>
      </c>
      <c r="L400">
        <f>IF(MONTH(calls[[#This Row],[Date of Call]])&lt;=6, YEAR(calls[[#This Row],[Date of Call]]), YEAR(calls[[#This Row],[Date of Call]])+1)</f>
        <v>2023</v>
      </c>
      <c r="M400" t="str">
        <f>TEXT(calls[[#This Row],[Date of Call]],"DDDD")</f>
        <v>السبت</v>
      </c>
      <c r="N400" t="str" cm="1">
        <f t="array" ref="N400">_xlfn.IFS(calls[[#This Row],[Duration]]&lt;=10,"Under 10 mins", calls[[#This Row],[Duration]]&lt;=30, "10 to 30 mins", calls[[#This Row],[Duration]]&lt;=60, "30 to 60 mins", calls[[#This Row],[Duration]]&lt;=120, "1 to 2 hours", TRUE, "More than 2 hours")</f>
        <v>1 to 2 hours</v>
      </c>
      <c r="O400">
        <f>ROUND(calls[[#This Row],[Satisfaction Rating]],0)</f>
        <v>4</v>
      </c>
    </row>
    <row r="401" spans="2:15" x14ac:dyDescent="0.25">
      <c r="B401" t="s">
        <v>422</v>
      </c>
      <c r="C401" t="s">
        <v>4</v>
      </c>
      <c r="D401">
        <f>VLOOKUP(C401,customers[],3,0)</f>
        <v>42</v>
      </c>
      <c r="E401" t="str">
        <f>VLOOKUP(C401,customers[],2,0)</f>
        <v>Female</v>
      </c>
      <c r="F401" t="str">
        <f>VLOOKUP(C401,customers[],4,0)</f>
        <v>Cleveland</v>
      </c>
      <c r="G401">
        <v>53</v>
      </c>
      <c r="H401" s="17" t="s">
        <v>10</v>
      </c>
      <c r="I401" s="18">
        <v>45038</v>
      </c>
      <c r="J401">
        <v>110</v>
      </c>
      <c r="K401">
        <v>4.3</v>
      </c>
      <c r="L401">
        <f>IF(MONTH(calls[[#This Row],[Date of Call]])&lt;=6, YEAR(calls[[#This Row],[Date of Call]]), YEAR(calls[[#This Row],[Date of Call]])+1)</f>
        <v>2023</v>
      </c>
      <c r="M401" t="str">
        <f>TEXT(calls[[#This Row],[Date of Call]],"DDDD")</f>
        <v>السبت</v>
      </c>
      <c r="N401" t="str" cm="1">
        <f t="array" ref="N401">_xlfn.IFS(calls[[#This Row],[Duration]]&lt;=10,"Under 10 mins", calls[[#This Row],[Duration]]&lt;=30, "10 to 30 mins", calls[[#This Row],[Duration]]&lt;=60, "30 to 60 mins", calls[[#This Row],[Duration]]&lt;=120, "1 to 2 hours", TRUE, "More than 2 hours")</f>
        <v>30 to 60 mins</v>
      </c>
      <c r="O401">
        <f>ROUND(calls[[#This Row],[Satisfaction Rating]],0)</f>
        <v>4</v>
      </c>
    </row>
    <row r="402" spans="2:15" x14ac:dyDescent="0.25">
      <c r="B402" t="s">
        <v>423</v>
      </c>
      <c r="C402" t="s">
        <v>11</v>
      </c>
      <c r="D402">
        <f>VLOOKUP(C402,customers[],3,0)</f>
        <v>36</v>
      </c>
      <c r="E402" t="str">
        <f>VLOOKUP(C402,customers[],2,0)</f>
        <v>Male</v>
      </c>
      <c r="F402" t="str">
        <f>VLOOKUP(C402,customers[],4,0)</f>
        <v>Cincinnati</v>
      </c>
      <c r="G402">
        <v>113</v>
      </c>
      <c r="H402" s="17" t="s">
        <v>10</v>
      </c>
      <c r="I402" s="18">
        <v>45038</v>
      </c>
      <c r="J402">
        <v>145</v>
      </c>
      <c r="K402">
        <v>4</v>
      </c>
      <c r="L402">
        <f>IF(MONTH(calls[[#This Row],[Date of Call]])&lt;=6, YEAR(calls[[#This Row],[Date of Call]]), YEAR(calls[[#This Row],[Date of Call]])+1)</f>
        <v>2023</v>
      </c>
      <c r="M402" t="str">
        <f>TEXT(calls[[#This Row],[Date of Call]],"DDDD")</f>
        <v>السبت</v>
      </c>
      <c r="N402" t="str" cm="1">
        <f t="array" ref="N402">_xlfn.IFS(calls[[#This Row],[Duration]]&lt;=10,"Under 10 mins", calls[[#This Row],[Duration]]&lt;=30, "10 to 30 mins", calls[[#This Row],[Duration]]&lt;=60, "30 to 60 mins", calls[[#This Row],[Duration]]&lt;=120, "1 to 2 hours", TRUE, "More than 2 hours")</f>
        <v>1 to 2 hours</v>
      </c>
      <c r="O402">
        <f>ROUND(calls[[#This Row],[Satisfaction Rating]],0)</f>
        <v>4</v>
      </c>
    </row>
    <row r="403" spans="2:15" x14ac:dyDescent="0.25">
      <c r="B403" t="s">
        <v>424</v>
      </c>
      <c r="C403" t="s">
        <v>4</v>
      </c>
      <c r="D403">
        <f>VLOOKUP(C403,customers[],3,0)</f>
        <v>42</v>
      </c>
      <c r="E403" t="str">
        <f>VLOOKUP(C403,customers[],2,0)</f>
        <v>Female</v>
      </c>
      <c r="F403" t="str">
        <f>VLOOKUP(C403,customers[],4,0)</f>
        <v>Cleveland</v>
      </c>
      <c r="G403">
        <v>89</v>
      </c>
      <c r="H403" s="17" t="s">
        <v>12</v>
      </c>
      <c r="I403" s="18">
        <v>45038</v>
      </c>
      <c r="J403">
        <v>129</v>
      </c>
      <c r="K403">
        <v>4</v>
      </c>
      <c r="L403">
        <f>IF(MONTH(calls[[#This Row],[Date of Call]])&lt;=6, YEAR(calls[[#This Row],[Date of Call]]), YEAR(calls[[#This Row],[Date of Call]])+1)</f>
        <v>2023</v>
      </c>
      <c r="M403" t="str">
        <f>TEXT(calls[[#This Row],[Date of Call]],"DDDD")</f>
        <v>السبت</v>
      </c>
      <c r="N403" t="str" cm="1">
        <f t="array" ref="N403">_xlfn.IFS(calls[[#This Row],[Duration]]&lt;=10,"Under 10 mins", calls[[#This Row],[Duration]]&lt;=30, "10 to 30 mins", calls[[#This Row],[Duration]]&lt;=60, "30 to 60 mins", calls[[#This Row],[Duration]]&lt;=120, "1 to 2 hours", TRUE, "More than 2 hours")</f>
        <v>1 to 2 hours</v>
      </c>
      <c r="O403">
        <f>ROUND(calls[[#This Row],[Satisfaction Rating]],0)</f>
        <v>4</v>
      </c>
    </row>
    <row r="404" spans="2:15" x14ac:dyDescent="0.25">
      <c r="B404" t="s">
        <v>425</v>
      </c>
      <c r="C404" t="s">
        <v>17</v>
      </c>
      <c r="D404">
        <f>VLOOKUP(C404,customers[],3,0)</f>
        <v>30</v>
      </c>
      <c r="E404" t="str">
        <f>VLOOKUP(C404,customers[],2,0)</f>
        <v>Female</v>
      </c>
      <c r="F404" t="str">
        <f>VLOOKUP(C404,customers[],4,0)</f>
        <v>Cleveland</v>
      </c>
      <c r="G404">
        <v>84</v>
      </c>
      <c r="H404" s="17" t="s">
        <v>9</v>
      </c>
      <c r="I404" s="18">
        <v>45038</v>
      </c>
      <c r="J404">
        <v>156</v>
      </c>
      <c r="K404">
        <v>3.2</v>
      </c>
      <c r="L404">
        <f>IF(MONTH(calls[[#This Row],[Date of Call]])&lt;=6, YEAR(calls[[#This Row],[Date of Call]]), YEAR(calls[[#This Row],[Date of Call]])+1)</f>
        <v>2023</v>
      </c>
      <c r="M404" t="str">
        <f>TEXT(calls[[#This Row],[Date of Call]],"DDDD")</f>
        <v>السبت</v>
      </c>
      <c r="N404" t="str" cm="1">
        <f t="array" ref="N404">_xlfn.IFS(calls[[#This Row],[Duration]]&lt;=10,"Under 10 mins", calls[[#This Row],[Duration]]&lt;=30, "10 to 30 mins", calls[[#This Row],[Duration]]&lt;=60, "30 to 60 mins", calls[[#This Row],[Duration]]&lt;=120, "1 to 2 hours", TRUE, "More than 2 hours")</f>
        <v>1 to 2 hours</v>
      </c>
      <c r="O404">
        <f>ROUND(calls[[#This Row],[Satisfaction Rating]],0)</f>
        <v>3</v>
      </c>
    </row>
    <row r="405" spans="2:15" x14ac:dyDescent="0.25">
      <c r="B405" t="s">
        <v>426</v>
      </c>
      <c r="C405" t="s">
        <v>23</v>
      </c>
      <c r="D405">
        <f>VLOOKUP(C405,customers[],3,0)</f>
        <v>31</v>
      </c>
      <c r="E405" t="str">
        <f>VLOOKUP(C405,customers[],2,0)</f>
        <v>Male</v>
      </c>
      <c r="F405" t="str">
        <f>VLOOKUP(C405,customers[],4,0)</f>
        <v>Cleveland</v>
      </c>
      <c r="G405">
        <v>130</v>
      </c>
      <c r="H405" s="17" t="s">
        <v>10</v>
      </c>
      <c r="I405" s="18">
        <v>45039</v>
      </c>
      <c r="J405">
        <v>120</v>
      </c>
      <c r="K405">
        <v>3.8</v>
      </c>
      <c r="L405">
        <f>IF(MONTH(calls[[#This Row],[Date of Call]])&lt;=6, YEAR(calls[[#This Row],[Date of Call]]), YEAR(calls[[#This Row],[Date of Call]])+1)</f>
        <v>2023</v>
      </c>
      <c r="M405" t="str">
        <f>TEXT(calls[[#This Row],[Date of Call]],"DDDD")</f>
        <v>الأحد</v>
      </c>
      <c r="N405" t="str" cm="1">
        <f t="array" ref="N405">_xlfn.IFS(calls[[#This Row],[Duration]]&lt;=10,"Under 10 mins", calls[[#This Row],[Duration]]&lt;=30, "10 to 30 mins", calls[[#This Row],[Duration]]&lt;=60, "30 to 60 mins", calls[[#This Row],[Duration]]&lt;=120, "1 to 2 hours", TRUE, "More than 2 hours")</f>
        <v>More than 2 hours</v>
      </c>
      <c r="O405">
        <f>ROUND(calls[[#This Row],[Satisfaction Rating]],0)</f>
        <v>4</v>
      </c>
    </row>
    <row r="406" spans="2:15" x14ac:dyDescent="0.25">
      <c r="B406" t="s">
        <v>427</v>
      </c>
      <c r="C406" t="s">
        <v>20</v>
      </c>
      <c r="D406">
        <f>VLOOKUP(C406,customers[],3,0)</f>
        <v>38</v>
      </c>
      <c r="E406" t="str">
        <f>VLOOKUP(C406,customers[],2,0)</f>
        <v>Female</v>
      </c>
      <c r="F406" t="str">
        <f>VLOOKUP(C406,customers[],4,0)</f>
        <v>Columbus</v>
      </c>
      <c r="G406">
        <v>163</v>
      </c>
      <c r="H406" s="17" t="s">
        <v>12</v>
      </c>
      <c r="I406" s="18">
        <v>45039</v>
      </c>
      <c r="J406">
        <v>62</v>
      </c>
      <c r="K406">
        <v>3.4</v>
      </c>
      <c r="L406">
        <f>IF(MONTH(calls[[#This Row],[Date of Call]])&lt;=6, YEAR(calls[[#This Row],[Date of Call]]), YEAR(calls[[#This Row],[Date of Call]])+1)</f>
        <v>2023</v>
      </c>
      <c r="M406" t="str">
        <f>TEXT(calls[[#This Row],[Date of Call]],"DDDD")</f>
        <v>الأحد</v>
      </c>
      <c r="N406" t="str" cm="1">
        <f t="array" ref="N406">_xlfn.IFS(calls[[#This Row],[Duration]]&lt;=10,"Under 10 mins", calls[[#This Row],[Duration]]&lt;=30, "10 to 30 mins", calls[[#This Row],[Duration]]&lt;=60, "30 to 60 mins", calls[[#This Row],[Duration]]&lt;=120, "1 to 2 hours", TRUE, "More than 2 hours")</f>
        <v>More than 2 hours</v>
      </c>
      <c r="O406">
        <f>ROUND(calls[[#This Row],[Satisfaction Rating]],0)</f>
        <v>3</v>
      </c>
    </row>
    <row r="407" spans="2:15" x14ac:dyDescent="0.25">
      <c r="B407" t="s">
        <v>428</v>
      </c>
      <c r="C407" t="s">
        <v>21</v>
      </c>
      <c r="D407">
        <f>VLOOKUP(C407,customers[],3,0)</f>
        <v>25</v>
      </c>
      <c r="E407" t="str">
        <f>VLOOKUP(C407,customers[],2,0)</f>
        <v>Female</v>
      </c>
      <c r="F407" t="str">
        <f>VLOOKUP(C407,customers[],4,0)</f>
        <v>Columbus</v>
      </c>
      <c r="G407">
        <v>127</v>
      </c>
      <c r="H407" s="17" t="s">
        <v>10</v>
      </c>
      <c r="I407" s="18">
        <v>45039</v>
      </c>
      <c r="J407">
        <v>160</v>
      </c>
      <c r="K407">
        <v>3.2</v>
      </c>
      <c r="L407">
        <f>IF(MONTH(calls[[#This Row],[Date of Call]])&lt;=6, YEAR(calls[[#This Row],[Date of Call]]), YEAR(calls[[#This Row],[Date of Call]])+1)</f>
        <v>2023</v>
      </c>
      <c r="M407" t="str">
        <f>TEXT(calls[[#This Row],[Date of Call]],"DDDD")</f>
        <v>الأحد</v>
      </c>
      <c r="N407" t="str" cm="1">
        <f t="array" ref="N407">_xlfn.IFS(calls[[#This Row],[Duration]]&lt;=10,"Under 10 mins", calls[[#This Row],[Duration]]&lt;=30, "10 to 30 mins", calls[[#This Row],[Duration]]&lt;=60, "30 to 60 mins", calls[[#This Row],[Duration]]&lt;=120, "1 to 2 hours", TRUE, "More than 2 hours")</f>
        <v>More than 2 hours</v>
      </c>
      <c r="O407">
        <f>ROUND(calls[[#This Row],[Satisfaction Rating]],0)</f>
        <v>3</v>
      </c>
    </row>
    <row r="408" spans="2:15" x14ac:dyDescent="0.25">
      <c r="B408" t="s">
        <v>429</v>
      </c>
      <c r="C408" t="s">
        <v>11</v>
      </c>
      <c r="D408">
        <f>VLOOKUP(C408,customers[],3,0)</f>
        <v>36</v>
      </c>
      <c r="E408" t="str">
        <f>VLOOKUP(C408,customers[],2,0)</f>
        <v>Male</v>
      </c>
      <c r="F408" t="str">
        <f>VLOOKUP(C408,customers[],4,0)</f>
        <v>Cincinnati</v>
      </c>
      <c r="G408">
        <v>50</v>
      </c>
      <c r="H408" s="17" t="s">
        <v>10</v>
      </c>
      <c r="I408" s="18">
        <v>45039</v>
      </c>
      <c r="J408">
        <v>56</v>
      </c>
      <c r="K408">
        <v>4.7</v>
      </c>
      <c r="L408">
        <f>IF(MONTH(calls[[#This Row],[Date of Call]])&lt;=6, YEAR(calls[[#This Row],[Date of Call]]), YEAR(calls[[#This Row],[Date of Call]])+1)</f>
        <v>2023</v>
      </c>
      <c r="M408" t="str">
        <f>TEXT(calls[[#This Row],[Date of Call]],"DDDD")</f>
        <v>الأحد</v>
      </c>
      <c r="N408" t="str" cm="1">
        <f t="array" ref="N408">_xlfn.IFS(calls[[#This Row],[Duration]]&lt;=10,"Under 10 mins", calls[[#This Row],[Duration]]&lt;=30, "10 to 30 mins", calls[[#This Row],[Duration]]&lt;=60, "30 to 60 mins", calls[[#This Row],[Duration]]&lt;=120, "1 to 2 hours", TRUE, "More than 2 hours")</f>
        <v>30 to 60 mins</v>
      </c>
      <c r="O408">
        <f>ROUND(calls[[#This Row],[Satisfaction Rating]],0)</f>
        <v>5</v>
      </c>
    </row>
    <row r="409" spans="2:15" x14ac:dyDescent="0.25">
      <c r="B409" t="s">
        <v>430</v>
      </c>
      <c r="C409" t="s">
        <v>14</v>
      </c>
      <c r="D409">
        <f>VLOOKUP(C409,customers[],3,0)</f>
        <v>22</v>
      </c>
      <c r="E409" t="str">
        <f>VLOOKUP(C409,customers[],2,0)</f>
        <v>Female</v>
      </c>
      <c r="F409" t="str">
        <f>VLOOKUP(C409,customers[],4,0)</f>
        <v>Cleveland</v>
      </c>
      <c r="G409">
        <v>88</v>
      </c>
      <c r="H409" s="17" t="s">
        <v>5</v>
      </c>
      <c r="I409" s="18">
        <v>45039</v>
      </c>
      <c r="J409">
        <v>72</v>
      </c>
      <c r="K409">
        <v>4</v>
      </c>
      <c r="L409">
        <f>IF(MONTH(calls[[#This Row],[Date of Call]])&lt;=6, YEAR(calls[[#This Row],[Date of Call]]), YEAR(calls[[#This Row],[Date of Call]])+1)</f>
        <v>2023</v>
      </c>
      <c r="M409" t="str">
        <f>TEXT(calls[[#This Row],[Date of Call]],"DDDD")</f>
        <v>الأحد</v>
      </c>
      <c r="N409" t="str" cm="1">
        <f t="array" ref="N409">_xlfn.IFS(calls[[#This Row],[Duration]]&lt;=10,"Under 10 mins", calls[[#This Row],[Duration]]&lt;=30, "10 to 30 mins", calls[[#This Row],[Duration]]&lt;=60, "30 to 60 mins", calls[[#This Row],[Duration]]&lt;=120, "1 to 2 hours", TRUE, "More than 2 hours")</f>
        <v>1 to 2 hours</v>
      </c>
      <c r="O409">
        <f>ROUND(calls[[#This Row],[Satisfaction Rating]],0)</f>
        <v>4</v>
      </c>
    </row>
    <row r="410" spans="2:15" x14ac:dyDescent="0.25">
      <c r="B410" t="s">
        <v>431</v>
      </c>
      <c r="C410" t="s">
        <v>11</v>
      </c>
      <c r="D410">
        <f>VLOOKUP(C410,customers[],3,0)</f>
        <v>36</v>
      </c>
      <c r="E410" t="str">
        <f>VLOOKUP(C410,customers[],2,0)</f>
        <v>Male</v>
      </c>
      <c r="F410" t="str">
        <f>VLOOKUP(C410,customers[],4,0)</f>
        <v>Cincinnati</v>
      </c>
      <c r="G410">
        <v>139</v>
      </c>
      <c r="H410" s="17" t="s">
        <v>8</v>
      </c>
      <c r="I410" s="18">
        <v>45040</v>
      </c>
      <c r="J410">
        <v>81</v>
      </c>
      <c r="K410">
        <v>4.8</v>
      </c>
      <c r="L410">
        <f>IF(MONTH(calls[[#This Row],[Date of Call]])&lt;=6, YEAR(calls[[#This Row],[Date of Call]]), YEAR(calls[[#This Row],[Date of Call]])+1)</f>
        <v>2023</v>
      </c>
      <c r="M410" t="str">
        <f>TEXT(calls[[#This Row],[Date of Call]],"DDDD")</f>
        <v>الإثنين</v>
      </c>
      <c r="N410" t="str" cm="1">
        <f t="array" ref="N410">_xlfn.IFS(calls[[#This Row],[Duration]]&lt;=10,"Under 10 mins", calls[[#This Row],[Duration]]&lt;=30, "10 to 30 mins", calls[[#This Row],[Duration]]&lt;=60, "30 to 60 mins", calls[[#This Row],[Duration]]&lt;=120, "1 to 2 hours", TRUE, "More than 2 hours")</f>
        <v>More than 2 hours</v>
      </c>
      <c r="O410">
        <f>ROUND(calls[[#This Row],[Satisfaction Rating]],0)</f>
        <v>5</v>
      </c>
    </row>
    <row r="411" spans="2:15" x14ac:dyDescent="0.25">
      <c r="B411" t="s">
        <v>432</v>
      </c>
      <c r="C411" t="s">
        <v>20</v>
      </c>
      <c r="D411">
        <f>VLOOKUP(C411,customers[],3,0)</f>
        <v>38</v>
      </c>
      <c r="E411" t="str">
        <f>VLOOKUP(C411,customers[],2,0)</f>
        <v>Female</v>
      </c>
      <c r="F411" t="str">
        <f>VLOOKUP(C411,customers[],4,0)</f>
        <v>Columbus</v>
      </c>
      <c r="G411">
        <v>111</v>
      </c>
      <c r="H411" s="17" t="s">
        <v>10</v>
      </c>
      <c r="I411" s="18">
        <v>45040</v>
      </c>
      <c r="J411">
        <v>144</v>
      </c>
      <c r="K411">
        <v>3.9</v>
      </c>
      <c r="L411">
        <f>IF(MONTH(calls[[#This Row],[Date of Call]])&lt;=6, YEAR(calls[[#This Row],[Date of Call]]), YEAR(calls[[#This Row],[Date of Call]])+1)</f>
        <v>2023</v>
      </c>
      <c r="M411" t="str">
        <f>TEXT(calls[[#This Row],[Date of Call]],"DDDD")</f>
        <v>الإثنين</v>
      </c>
      <c r="N411" t="str" cm="1">
        <f t="array" ref="N411">_xlfn.IFS(calls[[#This Row],[Duration]]&lt;=10,"Under 10 mins", calls[[#This Row],[Duration]]&lt;=30, "10 to 30 mins", calls[[#This Row],[Duration]]&lt;=60, "30 to 60 mins", calls[[#This Row],[Duration]]&lt;=120, "1 to 2 hours", TRUE, "More than 2 hours")</f>
        <v>1 to 2 hours</v>
      </c>
      <c r="O411">
        <f>ROUND(calls[[#This Row],[Satisfaction Rating]],0)</f>
        <v>4</v>
      </c>
    </row>
    <row r="412" spans="2:15" x14ac:dyDescent="0.25">
      <c r="B412" t="s">
        <v>433</v>
      </c>
      <c r="C412" t="s">
        <v>22</v>
      </c>
      <c r="D412">
        <f>VLOOKUP(C412,customers[],3,0)</f>
        <v>37</v>
      </c>
      <c r="E412" t="str">
        <f>VLOOKUP(C412,customers[],2,0)</f>
        <v>Male</v>
      </c>
      <c r="F412" t="str">
        <f>VLOOKUP(C412,customers[],4,0)</f>
        <v>Columbus</v>
      </c>
      <c r="G412">
        <v>115</v>
      </c>
      <c r="H412" s="17" t="s">
        <v>8</v>
      </c>
      <c r="I412" s="18">
        <v>45040</v>
      </c>
      <c r="J412">
        <v>111</v>
      </c>
      <c r="K412">
        <v>4.3</v>
      </c>
      <c r="L412">
        <f>IF(MONTH(calls[[#This Row],[Date of Call]])&lt;=6, YEAR(calls[[#This Row],[Date of Call]]), YEAR(calls[[#This Row],[Date of Call]])+1)</f>
        <v>2023</v>
      </c>
      <c r="M412" t="str">
        <f>TEXT(calls[[#This Row],[Date of Call]],"DDDD")</f>
        <v>الإثنين</v>
      </c>
      <c r="N412" t="str" cm="1">
        <f t="array" ref="N412">_xlfn.IFS(calls[[#This Row],[Duration]]&lt;=10,"Under 10 mins", calls[[#This Row],[Duration]]&lt;=30, "10 to 30 mins", calls[[#This Row],[Duration]]&lt;=60, "30 to 60 mins", calls[[#This Row],[Duration]]&lt;=120, "1 to 2 hours", TRUE, "More than 2 hours")</f>
        <v>1 to 2 hours</v>
      </c>
      <c r="O412">
        <f>ROUND(calls[[#This Row],[Satisfaction Rating]],0)</f>
        <v>4</v>
      </c>
    </row>
    <row r="413" spans="2:15" x14ac:dyDescent="0.25">
      <c r="B413" t="s">
        <v>434</v>
      </c>
      <c r="C413" t="s">
        <v>4</v>
      </c>
      <c r="D413">
        <f>VLOOKUP(C413,customers[],3,0)</f>
        <v>42</v>
      </c>
      <c r="E413" t="str">
        <f>VLOOKUP(C413,customers[],2,0)</f>
        <v>Female</v>
      </c>
      <c r="F413" t="str">
        <f>VLOOKUP(C413,customers[],4,0)</f>
        <v>Cleveland</v>
      </c>
      <c r="G413">
        <v>26</v>
      </c>
      <c r="H413" s="17" t="s">
        <v>12</v>
      </c>
      <c r="I413" s="18">
        <v>45040</v>
      </c>
      <c r="J413">
        <v>43</v>
      </c>
      <c r="K413">
        <v>4.2</v>
      </c>
      <c r="L413">
        <f>IF(MONTH(calls[[#This Row],[Date of Call]])&lt;=6, YEAR(calls[[#This Row],[Date of Call]]), YEAR(calls[[#This Row],[Date of Call]])+1)</f>
        <v>2023</v>
      </c>
      <c r="M413" t="str">
        <f>TEXT(calls[[#This Row],[Date of Call]],"DDDD")</f>
        <v>الإثنين</v>
      </c>
      <c r="N413" t="str" cm="1">
        <f t="array" ref="N413">_xlfn.IFS(calls[[#This Row],[Duration]]&lt;=10,"Under 10 mins", calls[[#This Row],[Duration]]&lt;=30, "10 to 30 mins", calls[[#This Row],[Duration]]&lt;=60, "30 to 60 mins", calls[[#This Row],[Duration]]&lt;=120, "1 to 2 hours", TRUE, "More than 2 hours")</f>
        <v>10 to 30 mins</v>
      </c>
      <c r="O413">
        <f>ROUND(calls[[#This Row],[Satisfaction Rating]],0)</f>
        <v>4</v>
      </c>
    </row>
    <row r="414" spans="2:15" x14ac:dyDescent="0.25">
      <c r="B414" t="s">
        <v>435</v>
      </c>
      <c r="C414" t="s">
        <v>17</v>
      </c>
      <c r="D414">
        <f>VLOOKUP(C414,customers[],3,0)</f>
        <v>30</v>
      </c>
      <c r="E414" t="str">
        <f>VLOOKUP(C414,customers[],2,0)</f>
        <v>Female</v>
      </c>
      <c r="F414" t="str">
        <f>VLOOKUP(C414,customers[],4,0)</f>
        <v>Cleveland</v>
      </c>
      <c r="G414">
        <v>131</v>
      </c>
      <c r="H414" s="17" t="s">
        <v>5</v>
      </c>
      <c r="I414" s="18">
        <v>45040</v>
      </c>
      <c r="J414">
        <v>41</v>
      </c>
      <c r="K414">
        <v>4.9000000000000004</v>
      </c>
      <c r="L414">
        <f>IF(MONTH(calls[[#This Row],[Date of Call]])&lt;=6, YEAR(calls[[#This Row],[Date of Call]]), YEAR(calls[[#This Row],[Date of Call]])+1)</f>
        <v>2023</v>
      </c>
      <c r="M414" t="str">
        <f>TEXT(calls[[#This Row],[Date of Call]],"DDDD")</f>
        <v>الإثنين</v>
      </c>
      <c r="N414" t="str" cm="1">
        <f t="array" ref="N414">_xlfn.IFS(calls[[#This Row],[Duration]]&lt;=10,"Under 10 mins", calls[[#This Row],[Duration]]&lt;=30, "10 to 30 mins", calls[[#This Row],[Duration]]&lt;=60, "30 to 60 mins", calls[[#This Row],[Duration]]&lt;=120, "1 to 2 hours", TRUE, "More than 2 hours")</f>
        <v>More than 2 hours</v>
      </c>
      <c r="O414">
        <f>ROUND(calls[[#This Row],[Satisfaction Rating]],0)</f>
        <v>5</v>
      </c>
    </row>
    <row r="415" spans="2:15" x14ac:dyDescent="0.25">
      <c r="B415" t="s">
        <v>436</v>
      </c>
      <c r="C415" t="s">
        <v>22</v>
      </c>
      <c r="D415">
        <f>VLOOKUP(C415,customers[],3,0)</f>
        <v>37</v>
      </c>
      <c r="E415" t="str">
        <f>VLOOKUP(C415,customers[],2,0)</f>
        <v>Male</v>
      </c>
      <c r="F415" t="str">
        <f>VLOOKUP(C415,customers[],4,0)</f>
        <v>Columbus</v>
      </c>
      <c r="G415">
        <v>27</v>
      </c>
      <c r="H415" s="17" t="s">
        <v>5</v>
      </c>
      <c r="I415" s="18">
        <v>45040</v>
      </c>
      <c r="J415">
        <v>74</v>
      </c>
      <c r="K415">
        <v>4</v>
      </c>
      <c r="L415">
        <f>IF(MONTH(calls[[#This Row],[Date of Call]])&lt;=6, YEAR(calls[[#This Row],[Date of Call]]), YEAR(calls[[#This Row],[Date of Call]])+1)</f>
        <v>2023</v>
      </c>
      <c r="M415" t="str">
        <f>TEXT(calls[[#This Row],[Date of Call]],"DDDD")</f>
        <v>الإثنين</v>
      </c>
      <c r="N415" t="str" cm="1">
        <f t="array" ref="N415">_xlfn.IFS(calls[[#This Row],[Duration]]&lt;=10,"Under 10 mins", calls[[#This Row],[Duration]]&lt;=30, "10 to 30 mins", calls[[#This Row],[Duration]]&lt;=60, "30 to 60 mins", calls[[#This Row],[Duration]]&lt;=120, "1 to 2 hours", TRUE, "More than 2 hours")</f>
        <v>10 to 30 mins</v>
      </c>
      <c r="O415">
        <f>ROUND(calls[[#This Row],[Satisfaction Rating]],0)</f>
        <v>4</v>
      </c>
    </row>
    <row r="416" spans="2:15" x14ac:dyDescent="0.25">
      <c r="B416" t="s">
        <v>437</v>
      </c>
      <c r="C416" t="s">
        <v>15</v>
      </c>
      <c r="D416">
        <f>VLOOKUP(C416,customers[],3,0)</f>
        <v>28</v>
      </c>
      <c r="E416" t="str">
        <f>VLOOKUP(C416,customers[],2,0)</f>
        <v>Female</v>
      </c>
      <c r="F416" t="str">
        <f>VLOOKUP(C416,customers[],4,0)</f>
        <v>Cincinnati</v>
      </c>
      <c r="G416">
        <v>75</v>
      </c>
      <c r="H416" s="17" t="s">
        <v>10</v>
      </c>
      <c r="I416" s="18">
        <v>45040</v>
      </c>
      <c r="J416">
        <v>43</v>
      </c>
      <c r="K416">
        <v>4.9000000000000004</v>
      </c>
      <c r="L416">
        <f>IF(MONTH(calls[[#This Row],[Date of Call]])&lt;=6, YEAR(calls[[#This Row],[Date of Call]]), YEAR(calls[[#This Row],[Date of Call]])+1)</f>
        <v>2023</v>
      </c>
      <c r="M416" t="str">
        <f>TEXT(calls[[#This Row],[Date of Call]],"DDDD")</f>
        <v>الإثنين</v>
      </c>
      <c r="N416" t="str" cm="1">
        <f t="array" ref="N416">_xlfn.IFS(calls[[#This Row],[Duration]]&lt;=10,"Under 10 mins", calls[[#This Row],[Duration]]&lt;=30, "10 to 30 mins", calls[[#This Row],[Duration]]&lt;=60, "30 to 60 mins", calls[[#This Row],[Duration]]&lt;=120, "1 to 2 hours", TRUE, "More than 2 hours")</f>
        <v>1 to 2 hours</v>
      </c>
      <c r="O416">
        <f>ROUND(calls[[#This Row],[Satisfaction Rating]],0)</f>
        <v>5</v>
      </c>
    </row>
    <row r="417" spans="2:15" x14ac:dyDescent="0.25">
      <c r="B417" t="s">
        <v>438</v>
      </c>
      <c r="C417" t="s">
        <v>6</v>
      </c>
      <c r="D417">
        <f>VLOOKUP(C417,customers[],3,0)</f>
        <v>23</v>
      </c>
      <c r="E417" t="str">
        <f>VLOOKUP(C417,customers[],2,0)</f>
        <v>Male</v>
      </c>
      <c r="F417" t="str">
        <f>VLOOKUP(C417,customers[],4,0)</f>
        <v>Columbus</v>
      </c>
      <c r="G417">
        <v>123</v>
      </c>
      <c r="H417" s="17" t="s">
        <v>5</v>
      </c>
      <c r="I417" s="18">
        <v>45040</v>
      </c>
      <c r="J417">
        <v>128</v>
      </c>
      <c r="K417">
        <v>3.6</v>
      </c>
      <c r="L417">
        <f>IF(MONTH(calls[[#This Row],[Date of Call]])&lt;=6, YEAR(calls[[#This Row],[Date of Call]]), YEAR(calls[[#This Row],[Date of Call]])+1)</f>
        <v>2023</v>
      </c>
      <c r="M417" t="str">
        <f>TEXT(calls[[#This Row],[Date of Call]],"DDDD")</f>
        <v>الإثنين</v>
      </c>
      <c r="N417" t="str" cm="1">
        <f t="array" ref="N417">_xlfn.IFS(calls[[#This Row],[Duration]]&lt;=10,"Under 10 mins", calls[[#This Row],[Duration]]&lt;=30, "10 to 30 mins", calls[[#This Row],[Duration]]&lt;=60, "30 to 60 mins", calls[[#This Row],[Duration]]&lt;=120, "1 to 2 hours", TRUE, "More than 2 hours")</f>
        <v>More than 2 hours</v>
      </c>
      <c r="O417">
        <f>ROUND(calls[[#This Row],[Satisfaction Rating]],0)</f>
        <v>4</v>
      </c>
    </row>
    <row r="418" spans="2:15" x14ac:dyDescent="0.25">
      <c r="B418" t="s">
        <v>439</v>
      </c>
      <c r="C418" t="s">
        <v>19</v>
      </c>
      <c r="D418">
        <f>VLOOKUP(C418,customers[],3,0)</f>
        <v>26</v>
      </c>
      <c r="E418" t="str">
        <f>VLOOKUP(C418,customers[],2,0)</f>
        <v>Male</v>
      </c>
      <c r="F418" t="str">
        <f>VLOOKUP(C418,customers[],4,0)</f>
        <v>Cincinnati</v>
      </c>
      <c r="G418">
        <v>129</v>
      </c>
      <c r="H418" s="17" t="s">
        <v>5</v>
      </c>
      <c r="I418" s="18">
        <v>45041</v>
      </c>
      <c r="J418">
        <v>144</v>
      </c>
      <c r="K418">
        <v>4.0999999999999996</v>
      </c>
      <c r="L418">
        <f>IF(MONTH(calls[[#This Row],[Date of Call]])&lt;=6, YEAR(calls[[#This Row],[Date of Call]]), YEAR(calls[[#This Row],[Date of Call]])+1)</f>
        <v>2023</v>
      </c>
      <c r="M418" t="str">
        <f>TEXT(calls[[#This Row],[Date of Call]],"DDDD")</f>
        <v>الثلاثاء</v>
      </c>
      <c r="N418" t="str" cm="1">
        <f t="array" ref="N418">_xlfn.IFS(calls[[#This Row],[Duration]]&lt;=10,"Under 10 mins", calls[[#This Row],[Duration]]&lt;=30, "10 to 30 mins", calls[[#This Row],[Duration]]&lt;=60, "30 to 60 mins", calls[[#This Row],[Duration]]&lt;=120, "1 to 2 hours", TRUE, "More than 2 hours")</f>
        <v>More than 2 hours</v>
      </c>
      <c r="O418">
        <f>ROUND(calls[[#This Row],[Satisfaction Rating]],0)</f>
        <v>4</v>
      </c>
    </row>
    <row r="419" spans="2:15" x14ac:dyDescent="0.25">
      <c r="B419" t="s">
        <v>440</v>
      </c>
      <c r="C419" t="s">
        <v>15</v>
      </c>
      <c r="D419">
        <f>VLOOKUP(C419,customers[],3,0)</f>
        <v>28</v>
      </c>
      <c r="E419" t="str">
        <f>VLOOKUP(C419,customers[],2,0)</f>
        <v>Female</v>
      </c>
      <c r="F419" t="str">
        <f>VLOOKUP(C419,customers[],4,0)</f>
        <v>Cincinnati</v>
      </c>
      <c r="G419">
        <v>124</v>
      </c>
      <c r="H419" s="17" t="s">
        <v>8</v>
      </c>
      <c r="I419" s="18">
        <v>45041</v>
      </c>
      <c r="J419">
        <v>132</v>
      </c>
      <c r="K419">
        <v>4.9000000000000004</v>
      </c>
      <c r="L419">
        <f>IF(MONTH(calls[[#This Row],[Date of Call]])&lt;=6, YEAR(calls[[#This Row],[Date of Call]]), YEAR(calls[[#This Row],[Date of Call]])+1)</f>
        <v>2023</v>
      </c>
      <c r="M419" t="str">
        <f>TEXT(calls[[#This Row],[Date of Call]],"DDDD")</f>
        <v>الثلاثاء</v>
      </c>
      <c r="N419" t="str" cm="1">
        <f t="array" ref="N419">_xlfn.IFS(calls[[#This Row],[Duration]]&lt;=10,"Under 10 mins", calls[[#This Row],[Duration]]&lt;=30, "10 to 30 mins", calls[[#This Row],[Duration]]&lt;=60, "30 to 60 mins", calls[[#This Row],[Duration]]&lt;=120, "1 to 2 hours", TRUE, "More than 2 hours")</f>
        <v>More than 2 hours</v>
      </c>
      <c r="O419">
        <f>ROUND(calls[[#This Row],[Satisfaction Rating]],0)</f>
        <v>5</v>
      </c>
    </row>
    <row r="420" spans="2:15" x14ac:dyDescent="0.25">
      <c r="B420" t="s">
        <v>441</v>
      </c>
      <c r="C420" t="s">
        <v>22</v>
      </c>
      <c r="D420">
        <f>VLOOKUP(C420,customers[],3,0)</f>
        <v>37</v>
      </c>
      <c r="E420" t="str">
        <f>VLOOKUP(C420,customers[],2,0)</f>
        <v>Male</v>
      </c>
      <c r="F420" t="str">
        <f>VLOOKUP(C420,customers[],4,0)</f>
        <v>Columbus</v>
      </c>
      <c r="G420">
        <v>108</v>
      </c>
      <c r="H420" s="17" t="s">
        <v>8</v>
      </c>
      <c r="I420" s="18">
        <v>45041</v>
      </c>
      <c r="J420">
        <v>180</v>
      </c>
      <c r="K420">
        <v>3.9</v>
      </c>
      <c r="L420">
        <f>IF(MONTH(calls[[#This Row],[Date of Call]])&lt;=6, YEAR(calls[[#This Row],[Date of Call]]), YEAR(calls[[#This Row],[Date of Call]])+1)</f>
        <v>2023</v>
      </c>
      <c r="M420" t="str">
        <f>TEXT(calls[[#This Row],[Date of Call]],"DDDD")</f>
        <v>الثلاثاء</v>
      </c>
      <c r="N420" t="str" cm="1">
        <f t="array" ref="N420">_xlfn.IFS(calls[[#This Row],[Duration]]&lt;=10,"Under 10 mins", calls[[#This Row],[Duration]]&lt;=30, "10 to 30 mins", calls[[#This Row],[Duration]]&lt;=60, "30 to 60 mins", calls[[#This Row],[Duration]]&lt;=120, "1 to 2 hours", TRUE, "More than 2 hours")</f>
        <v>1 to 2 hours</v>
      </c>
      <c r="O420">
        <f>ROUND(calls[[#This Row],[Satisfaction Rating]],0)</f>
        <v>4</v>
      </c>
    </row>
    <row r="421" spans="2:15" x14ac:dyDescent="0.25">
      <c r="B421" t="s">
        <v>442</v>
      </c>
      <c r="C421" t="s">
        <v>7</v>
      </c>
      <c r="D421">
        <f>VLOOKUP(C421,customers[],3,0)</f>
        <v>30</v>
      </c>
      <c r="E421" t="str">
        <f>VLOOKUP(C421,customers[],2,0)</f>
        <v>Female</v>
      </c>
      <c r="F421" t="str">
        <f>VLOOKUP(C421,customers[],4,0)</f>
        <v>Cincinnati</v>
      </c>
      <c r="G421">
        <v>15</v>
      </c>
      <c r="H421" s="17" t="s">
        <v>8</v>
      </c>
      <c r="I421" s="18">
        <v>45041</v>
      </c>
      <c r="J421">
        <v>31</v>
      </c>
      <c r="K421">
        <v>4.0999999999999996</v>
      </c>
      <c r="L421">
        <f>IF(MONTH(calls[[#This Row],[Date of Call]])&lt;=6, YEAR(calls[[#This Row],[Date of Call]]), YEAR(calls[[#This Row],[Date of Call]])+1)</f>
        <v>2023</v>
      </c>
      <c r="M421" t="str">
        <f>TEXT(calls[[#This Row],[Date of Call]],"DDDD")</f>
        <v>الثلاثاء</v>
      </c>
      <c r="N421" t="str" cm="1">
        <f t="array" ref="N421">_xlfn.IFS(calls[[#This Row],[Duration]]&lt;=10,"Under 10 mins", calls[[#This Row],[Duration]]&lt;=30, "10 to 30 mins", calls[[#This Row],[Duration]]&lt;=60, "30 to 60 mins", calls[[#This Row],[Duration]]&lt;=120, "1 to 2 hours", TRUE, "More than 2 hours")</f>
        <v>10 to 30 mins</v>
      </c>
      <c r="O421">
        <f>ROUND(calls[[#This Row],[Satisfaction Rating]],0)</f>
        <v>4</v>
      </c>
    </row>
    <row r="422" spans="2:15" x14ac:dyDescent="0.25">
      <c r="B422" t="s">
        <v>443</v>
      </c>
      <c r="C422" t="s">
        <v>22</v>
      </c>
      <c r="D422">
        <f>VLOOKUP(C422,customers[],3,0)</f>
        <v>37</v>
      </c>
      <c r="E422" t="str">
        <f>VLOOKUP(C422,customers[],2,0)</f>
        <v>Male</v>
      </c>
      <c r="F422" t="str">
        <f>VLOOKUP(C422,customers[],4,0)</f>
        <v>Columbus</v>
      </c>
      <c r="G422">
        <v>66</v>
      </c>
      <c r="H422" s="17" t="s">
        <v>8</v>
      </c>
      <c r="I422" s="18">
        <v>45041</v>
      </c>
      <c r="J422">
        <v>102</v>
      </c>
      <c r="K422">
        <v>3.8</v>
      </c>
      <c r="L422">
        <f>IF(MONTH(calls[[#This Row],[Date of Call]])&lt;=6, YEAR(calls[[#This Row],[Date of Call]]), YEAR(calls[[#This Row],[Date of Call]])+1)</f>
        <v>2023</v>
      </c>
      <c r="M422" t="str">
        <f>TEXT(calls[[#This Row],[Date of Call]],"DDDD")</f>
        <v>الثلاثاء</v>
      </c>
      <c r="N422" t="str" cm="1">
        <f t="array" ref="N422">_xlfn.IFS(calls[[#This Row],[Duration]]&lt;=10,"Under 10 mins", calls[[#This Row],[Duration]]&lt;=30, "10 to 30 mins", calls[[#This Row],[Duration]]&lt;=60, "30 to 60 mins", calls[[#This Row],[Duration]]&lt;=120, "1 to 2 hours", TRUE, "More than 2 hours")</f>
        <v>1 to 2 hours</v>
      </c>
      <c r="O422">
        <f>ROUND(calls[[#This Row],[Satisfaction Rating]],0)</f>
        <v>4</v>
      </c>
    </row>
    <row r="423" spans="2:15" x14ac:dyDescent="0.25">
      <c r="B423" t="s">
        <v>444</v>
      </c>
      <c r="C423" t="s">
        <v>14</v>
      </c>
      <c r="D423">
        <f>VLOOKUP(C423,customers[],3,0)</f>
        <v>22</v>
      </c>
      <c r="E423" t="str">
        <f>VLOOKUP(C423,customers[],2,0)</f>
        <v>Female</v>
      </c>
      <c r="F423" t="str">
        <f>VLOOKUP(C423,customers[],4,0)</f>
        <v>Cleveland</v>
      </c>
      <c r="G423">
        <v>126</v>
      </c>
      <c r="H423" s="17" t="s">
        <v>10</v>
      </c>
      <c r="I423" s="18">
        <v>45042</v>
      </c>
      <c r="J423">
        <v>175</v>
      </c>
      <c r="K423">
        <v>4.8</v>
      </c>
      <c r="L423">
        <f>IF(MONTH(calls[[#This Row],[Date of Call]])&lt;=6, YEAR(calls[[#This Row],[Date of Call]]), YEAR(calls[[#This Row],[Date of Call]])+1)</f>
        <v>2023</v>
      </c>
      <c r="M423" t="str">
        <f>TEXT(calls[[#This Row],[Date of Call]],"DDDD")</f>
        <v>الأربعاء</v>
      </c>
      <c r="N423" t="str" cm="1">
        <f t="array" ref="N423">_xlfn.IFS(calls[[#This Row],[Duration]]&lt;=10,"Under 10 mins", calls[[#This Row],[Duration]]&lt;=30, "10 to 30 mins", calls[[#This Row],[Duration]]&lt;=60, "30 to 60 mins", calls[[#This Row],[Duration]]&lt;=120, "1 to 2 hours", TRUE, "More than 2 hours")</f>
        <v>More than 2 hours</v>
      </c>
      <c r="O423">
        <f>ROUND(calls[[#This Row],[Satisfaction Rating]],0)</f>
        <v>5</v>
      </c>
    </row>
    <row r="424" spans="2:15" x14ac:dyDescent="0.25">
      <c r="B424" t="s">
        <v>445</v>
      </c>
      <c r="C424" t="s">
        <v>15</v>
      </c>
      <c r="D424">
        <f>VLOOKUP(C424,customers[],3,0)</f>
        <v>28</v>
      </c>
      <c r="E424" t="str">
        <f>VLOOKUP(C424,customers[],2,0)</f>
        <v>Female</v>
      </c>
      <c r="F424" t="str">
        <f>VLOOKUP(C424,customers[],4,0)</f>
        <v>Cincinnati</v>
      </c>
      <c r="G424">
        <v>26</v>
      </c>
      <c r="H424" s="17" t="s">
        <v>9</v>
      </c>
      <c r="I424" s="18">
        <v>45042</v>
      </c>
      <c r="J424">
        <v>87</v>
      </c>
      <c r="K424">
        <v>4.7</v>
      </c>
      <c r="L424">
        <f>IF(MONTH(calls[[#This Row],[Date of Call]])&lt;=6, YEAR(calls[[#This Row],[Date of Call]]), YEAR(calls[[#This Row],[Date of Call]])+1)</f>
        <v>2023</v>
      </c>
      <c r="M424" t="str">
        <f>TEXT(calls[[#This Row],[Date of Call]],"DDDD")</f>
        <v>الأربعاء</v>
      </c>
      <c r="N424" t="str" cm="1">
        <f t="array" ref="N424">_xlfn.IFS(calls[[#This Row],[Duration]]&lt;=10,"Under 10 mins", calls[[#This Row],[Duration]]&lt;=30, "10 to 30 mins", calls[[#This Row],[Duration]]&lt;=60, "30 to 60 mins", calls[[#This Row],[Duration]]&lt;=120, "1 to 2 hours", TRUE, "More than 2 hours")</f>
        <v>10 to 30 mins</v>
      </c>
      <c r="O424">
        <f>ROUND(calls[[#This Row],[Satisfaction Rating]],0)</f>
        <v>5</v>
      </c>
    </row>
    <row r="425" spans="2:15" x14ac:dyDescent="0.25">
      <c r="B425" t="s">
        <v>446</v>
      </c>
      <c r="C425" t="s">
        <v>23</v>
      </c>
      <c r="D425">
        <f>VLOOKUP(C425,customers[],3,0)</f>
        <v>31</v>
      </c>
      <c r="E425" t="str">
        <f>VLOOKUP(C425,customers[],2,0)</f>
        <v>Male</v>
      </c>
      <c r="F425" t="str">
        <f>VLOOKUP(C425,customers[],4,0)</f>
        <v>Cleveland</v>
      </c>
      <c r="G425">
        <v>105</v>
      </c>
      <c r="H425" s="17" t="s">
        <v>10</v>
      </c>
      <c r="I425" s="18">
        <v>45042</v>
      </c>
      <c r="J425">
        <v>66</v>
      </c>
      <c r="K425">
        <v>4.2</v>
      </c>
      <c r="L425">
        <f>IF(MONTH(calls[[#This Row],[Date of Call]])&lt;=6, YEAR(calls[[#This Row],[Date of Call]]), YEAR(calls[[#This Row],[Date of Call]])+1)</f>
        <v>2023</v>
      </c>
      <c r="M425" t="str">
        <f>TEXT(calls[[#This Row],[Date of Call]],"DDDD")</f>
        <v>الأربعاء</v>
      </c>
      <c r="N425" t="str" cm="1">
        <f t="array" ref="N425">_xlfn.IFS(calls[[#This Row],[Duration]]&lt;=10,"Under 10 mins", calls[[#This Row],[Duration]]&lt;=30, "10 to 30 mins", calls[[#This Row],[Duration]]&lt;=60, "30 to 60 mins", calls[[#This Row],[Duration]]&lt;=120, "1 to 2 hours", TRUE, "More than 2 hours")</f>
        <v>1 to 2 hours</v>
      </c>
      <c r="O425">
        <f>ROUND(calls[[#This Row],[Satisfaction Rating]],0)</f>
        <v>4</v>
      </c>
    </row>
    <row r="426" spans="2:15" x14ac:dyDescent="0.25">
      <c r="B426" t="s">
        <v>447</v>
      </c>
      <c r="C426" t="s">
        <v>23</v>
      </c>
      <c r="D426">
        <f>VLOOKUP(C426,customers[],3,0)</f>
        <v>31</v>
      </c>
      <c r="E426" t="str">
        <f>VLOOKUP(C426,customers[],2,0)</f>
        <v>Male</v>
      </c>
      <c r="F426" t="str">
        <f>VLOOKUP(C426,customers[],4,0)</f>
        <v>Cleveland</v>
      </c>
      <c r="G426">
        <v>31</v>
      </c>
      <c r="H426" s="17" t="s">
        <v>10</v>
      </c>
      <c r="I426" s="18">
        <v>45042</v>
      </c>
      <c r="J426">
        <v>25</v>
      </c>
      <c r="K426">
        <v>3.2</v>
      </c>
      <c r="L426">
        <f>IF(MONTH(calls[[#This Row],[Date of Call]])&lt;=6, YEAR(calls[[#This Row],[Date of Call]]), YEAR(calls[[#This Row],[Date of Call]])+1)</f>
        <v>2023</v>
      </c>
      <c r="M426" t="str">
        <f>TEXT(calls[[#This Row],[Date of Call]],"DDDD")</f>
        <v>الأربعاء</v>
      </c>
      <c r="N426" t="str" cm="1">
        <f t="array" ref="N426">_xlfn.IFS(calls[[#This Row],[Duration]]&lt;=10,"Under 10 mins", calls[[#This Row],[Duration]]&lt;=30, "10 to 30 mins", calls[[#This Row],[Duration]]&lt;=60, "30 to 60 mins", calls[[#This Row],[Duration]]&lt;=120, "1 to 2 hours", TRUE, "More than 2 hours")</f>
        <v>30 to 60 mins</v>
      </c>
      <c r="O426">
        <f>ROUND(calls[[#This Row],[Satisfaction Rating]],0)</f>
        <v>3</v>
      </c>
    </row>
    <row r="427" spans="2:15" x14ac:dyDescent="0.25">
      <c r="B427" t="s">
        <v>448</v>
      </c>
      <c r="C427" t="s">
        <v>22</v>
      </c>
      <c r="D427">
        <f>VLOOKUP(C427,customers[],3,0)</f>
        <v>37</v>
      </c>
      <c r="E427" t="str">
        <f>VLOOKUP(C427,customers[],2,0)</f>
        <v>Male</v>
      </c>
      <c r="F427" t="str">
        <f>VLOOKUP(C427,customers[],4,0)</f>
        <v>Columbus</v>
      </c>
      <c r="G427">
        <v>109</v>
      </c>
      <c r="H427" s="17" t="s">
        <v>8</v>
      </c>
      <c r="I427" s="18">
        <v>45042</v>
      </c>
      <c r="J427">
        <v>126</v>
      </c>
      <c r="K427">
        <v>3.4</v>
      </c>
      <c r="L427">
        <f>IF(MONTH(calls[[#This Row],[Date of Call]])&lt;=6, YEAR(calls[[#This Row],[Date of Call]]), YEAR(calls[[#This Row],[Date of Call]])+1)</f>
        <v>2023</v>
      </c>
      <c r="M427" t="str">
        <f>TEXT(calls[[#This Row],[Date of Call]],"DDDD")</f>
        <v>الأربعاء</v>
      </c>
      <c r="N427" t="str" cm="1">
        <f t="array" ref="N427">_xlfn.IFS(calls[[#This Row],[Duration]]&lt;=10,"Under 10 mins", calls[[#This Row],[Duration]]&lt;=30, "10 to 30 mins", calls[[#This Row],[Duration]]&lt;=60, "30 to 60 mins", calls[[#This Row],[Duration]]&lt;=120, "1 to 2 hours", TRUE, "More than 2 hours")</f>
        <v>1 to 2 hours</v>
      </c>
      <c r="O427">
        <f>ROUND(calls[[#This Row],[Satisfaction Rating]],0)</f>
        <v>3</v>
      </c>
    </row>
    <row r="428" spans="2:15" x14ac:dyDescent="0.25">
      <c r="B428" t="s">
        <v>449</v>
      </c>
      <c r="C428" t="s">
        <v>19</v>
      </c>
      <c r="D428">
        <f>VLOOKUP(C428,customers[],3,0)</f>
        <v>26</v>
      </c>
      <c r="E428" t="str">
        <f>VLOOKUP(C428,customers[],2,0)</f>
        <v>Male</v>
      </c>
      <c r="F428" t="str">
        <f>VLOOKUP(C428,customers[],4,0)</f>
        <v>Cincinnati</v>
      </c>
      <c r="G428">
        <v>113</v>
      </c>
      <c r="H428" s="17" t="s">
        <v>12</v>
      </c>
      <c r="I428" s="18">
        <v>45043</v>
      </c>
      <c r="J428">
        <v>42</v>
      </c>
      <c r="K428">
        <v>4.5999999999999996</v>
      </c>
      <c r="L428">
        <f>IF(MONTH(calls[[#This Row],[Date of Call]])&lt;=6, YEAR(calls[[#This Row],[Date of Call]]), YEAR(calls[[#This Row],[Date of Call]])+1)</f>
        <v>2023</v>
      </c>
      <c r="M428" t="str">
        <f>TEXT(calls[[#This Row],[Date of Call]],"DDDD")</f>
        <v>الخميس</v>
      </c>
      <c r="N428" t="str" cm="1">
        <f t="array" ref="N428">_xlfn.IFS(calls[[#This Row],[Duration]]&lt;=10,"Under 10 mins", calls[[#This Row],[Duration]]&lt;=30, "10 to 30 mins", calls[[#This Row],[Duration]]&lt;=60, "30 to 60 mins", calls[[#This Row],[Duration]]&lt;=120, "1 to 2 hours", TRUE, "More than 2 hours")</f>
        <v>1 to 2 hours</v>
      </c>
      <c r="O428">
        <f>ROUND(calls[[#This Row],[Satisfaction Rating]],0)</f>
        <v>5</v>
      </c>
    </row>
    <row r="429" spans="2:15" x14ac:dyDescent="0.25">
      <c r="B429" t="s">
        <v>450</v>
      </c>
      <c r="C429" t="s">
        <v>14</v>
      </c>
      <c r="D429">
        <f>VLOOKUP(C429,customers[],3,0)</f>
        <v>22</v>
      </c>
      <c r="E429" t="str">
        <f>VLOOKUP(C429,customers[],2,0)</f>
        <v>Female</v>
      </c>
      <c r="F429" t="str">
        <f>VLOOKUP(C429,customers[],4,0)</f>
        <v>Cleveland</v>
      </c>
      <c r="G429">
        <v>101</v>
      </c>
      <c r="H429" s="17" t="s">
        <v>9</v>
      </c>
      <c r="I429" s="18">
        <v>45043</v>
      </c>
      <c r="J429">
        <v>225</v>
      </c>
      <c r="K429">
        <v>1.9</v>
      </c>
      <c r="L429">
        <f>IF(MONTH(calls[[#This Row],[Date of Call]])&lt;=6, YEAR(calls[[#This Row],[Date of Call]]), YEAR(calls[[#This Row],[Date of Call]])+1)</f>
        <v>2023</v>
      </c>
      <c r="M429" t="str">
        <f>TEXT(calls[[#This Row],[Date of Call]],"DDDD")</f>
        <v>الخميس</v>
      </c>
      <c r="N429" t="str" cm="1">
        <f t="array" ref="N429">_xlfn.IFS(calls[[#This Row],[Duration]]&lt;=10,"Under 10 mins", calls[[#This Row],[Duration]]&lt;=30, "10 to 30 mins", calls[[#This Row],[Duration]]&lt;=60, "30 to 60 mins", calls[[#This Row],[Duration]]&lt;=120, "1 to 2 hours", TRUE, "More than 2 hours")</f>
        <v>1 to 2 hours</v>
      </c>
      <c r="O429">
        <f>ROUND(calls[[#This Row],[Satisfaction Rating]],0)</f>
        <v>2</v>
      </c>
    </row>
    <row r="430" spans="2:15" x14ac:dyDescent="0.25">
      <c r="B430" t="s">
        <v>451</v>
      </c>
      <c r="C430" t="s">
        <v>20</v>
      </c>
      <c r="D430">
        <f>VLOOKUP(C430,customers[],3,0)</f>
        <v>38</v>
      </c>
      <c r="E430" t="str">
        <f>VLOOKUP(C430,customers[],2,0)</f>
        <v>Female</v>
      </c>
      <c r="F430" t="str">
        <f>VLOOKUP(C430,customers[],4,0)</f>
        <v>Columbus</v>
      </c>
      <c r="G430">
        <v>156</v>
      </c>
      <c r="H430" s="17" t="s">
        <v>9</v>
      </c>
      <c r="I430" s="18">
        <v>45043</v>
      </c>
      <c r="J430">
        <v>42</v>
      </c>
      <c r="K430">
        <v>3.3</v>
      </c>
      <c r="L430">
        <f>IF(MONTH(calls[[#This Row],[Date of Call]])&lt;=6, YEAR(calls[[#This Row],[Date of Call]]), YEAR(calls[[#This Row],[Date of Call]])+1)</f>
        <v>2023</v>
      </c>
      <c r="M430" t="str">
        <f>TEXT(calls[[#This Row],[Date of Call]],"DDDD")</f>
        <v>الخميس</v>
      </c>
      <c r="N430" t="str" cm="1">
        <f t="array" ref="N430">_xlfn.IFS(calls[[#This Row],[Duration]]&lt;=10,"Under 10 mins", calls[[#This Row],[Duration]]&lt;=30, "10 to 30 mins", calls[[#This Row],[Duration]]&lt;=60, "30 to 60 mins", calls[[#This Row],[Duration]]&lt;=120, "1 to 2 hours", TRUE, "More than 2 hours")</f>
        <v>More than 2 hours</v>
      </c>
      <c r="O430">
        <f>ROUND(calls[[#This Row],[Satisfaction Rating]],0)</f>
        <v>3</v>
      </c>
    </row>
    <row r="431" spans="2:15" x14ac:dyDescent="0.25">
      <c r="B431" t="s">
        <v>452</v>
      </c>
      <c r="C431" t="s">
        <v>22</v>
      </c>
      <c r="D431">
        <f>VLOOKUP(C431,customers[],3,0)</f>
        <v>37</v>
      </c>
      <c r="E431" t="str">
        <f>VLOOKUP(C431,customers[],2,0)</f>
        <v>Male</v>
      </c>
      <c r="F431" t="str">
        <f>VLOOKUP(C431,customers[],4,0)</f>
        <v>Columbus</v>
      </c>
      <c r="G431">
        <v>145</v>
      </c>
      <c r="H431" s="17" t="s">
        <v>12</v>
      </c>
      <c r="I431" s="18">
        <v>45044</v>
      </c>
      <c r="J431">
        <v>110</v>
      </c>
      <c r="K431">
        <v>3.1</v>
      </c>
      <c r="L431">
        <f>IF(MONTH(calls[[#This Row],[Date of Call]])&lt;=6, YEAR(calls[[#This Row],[Date of Call]]), YEAR(calls[[#This Row],[Date of Call]])+1)</f>
        <v>2023</v>
      </c>
      <c r="M431" t="str">
        <f>TEXT(calls[[#This Row],[Date of Call]],"DDDD")</f>
        <v>الجمعة</v>
      </c>
      <c r="N431" t="str" cm="1">
        <f t="array" ref="N431">_xlfn.IFS(calls[[#This Row],[Duration]]&lt;=10,"Under 10 mins", calls[[#This Row],[Duration]]&lt;=30, "10 to 30 mins", calls[[#This Row],[Duration]]&lt;=60, "30 to 60 mins", calls[[#This Row],[Duration]]&lt;=120, "1 to 2 hours", TRUE, "More than 2 hours")</f>
        <v>More than 2 hours</v>
      </c>
      <c r="O431">
        <f>ROUND(calls[[#This Row],[Satisfaction Rating]],0)</f>
        <v>3</v>
      </c>
    </row>
    <row r="432" spans="2:15" x14ac:dyDescent="0.25">
      <c r="B432" t="s">
        <v>453</v>
      </c>
      <c r="C432" t="s">
        <v>6</v>
      </c>
      <c r="D432">
        <f>VLOOKUP(C432,customers[],3,0)</f>
        <v>23</v>
      </c>
      <c r="E432" t="str">
        <f>VLOOKUP(C432,customers[],2,0)</f>
        <v>Male</v>
      </c>
      <c r="F432" t="str">
        <f>VLOOKUP(C432,customers[],4,0)</f>
        <v>Columbus</v>
      </c>
      <c r="G432">
        <v>36</v>
      </c>
      <c r="H432" s="17" t="s">
        <v>8</v>
      </c>
      <c r="I432" s="18">
        <v>45044</v>
      </c>
      <c r="J432">
        <v>225</v>
      </c>
      <c r="K432">
        <v>4.8</v>
      </c>
      <c r="L432">
        <f>IF(MONTH(calls[[#This Row],[Date of Call]])&lt;=6, YEAR(calls[[#This Row],[Date of Call]]), YEAR(calls[[#This Row],[Date of Call]])+1)</f>
        <v>2023</v>
      </c>
      <c r="M432" t="str">
        <f>TEXT(calls[[#This Row],[Date of Call]],"DDDD")</f>
        <v>الجمعة</v>
      </c>
      <c r="N432" t="str" cm="1">
        <f t="array" ref="N432">_xlfn.IFS(calls[[#This Row],[Duration]]&lt;=10,"Under 10 mins", calls[[#This Row],[Duration]]&lt;=30, "10 to 30 mins", calls[[#This Row],[Duration]]&lt;=60, "30 to 60 mins", calls[[#This Row],[Duration]]&lt;=120, "1 to 2 hours", TRUE, "More than 2 hours")</f>
        <v>30 to 60 mins</v>
      </c>
      <c r="O432">
        <f>ROUND(calls[[#This Row],[Satisfaction Rating]],0)</f>
        <v>5</v>
      </c>
    </row>
    <row r="433" spans="2:15" x14ac:dyDescent="0.25">
      <c r="B433" t="s">
        <v>454</v>
      </c>
      <c r="C433" t="s">
        <v>23</v>
      </c>
      <c r="D433">
        <f>VLOOKUP(C433,customers[],3,0)</f>
        <v>31</v>
      </c>
      <c r="E433" t="str">
        <f>VLOOKUP(C433,customers[],2,0)</f>
        <v>Male</v>
      </c>
      <c r="F433" t="str">
        <f>VLOOKUP(C433,customers[],4,0)</f>
        <v>Cleveland</v>
      </c>
      <c r="G433">
        <v>135</v>
      </c>
      <c r="H433" s="17" t="s">
        <v>5</v>
      </c>
      <c r="I433" s="18">
        <v>45045</v>
      </c>
      <c r="J433">
        <v>125</v>
      </c>
      <c r="K433">
        <v>3.3</v>
      </c>
      <c r="L433">
        <f>IF(MONTH(calls[[#This Row],[Date of Call]])&lt;=6, YEAR(calls[[#This Row],[Date of Call]]), YEAR(calls[[#This Row],[Date of Call]])+1)</f>
        <v>2023</v>
      </c>
      <c r="M433" t="str">
        <f>TEXT(calls[[#This Row],[Date of Call]],"DDDD")</f>
        <v>السبت</v>
      </c>
      <c r="N433" t="str" cm="1">
        <f t="array" ref="N433">_xlfn.IFS(calls[[#This Row],[Duration]]&lt;=10,"Under 10 mins", calls[[#This Row],[Duration]]&lt;=30, "10 to 30 mins", calls[[#This Row],[Duration]]&lt;=60, "30 to 60 mins", calls[[#This Row],[Duration]]&lt;=120, "1 to 2 hours", TRUE, "More than 2 hours")</f>
        <v>More than 2 hours</v>
      </c>
      <c r="O433">
        <f>ROUND(calls[[#This Row],[Satisfaction Rating]],0)</f>
        <v>3</v>
      </c>
    </row>
    <row r="434" spans="2:15" x14ac:dyDescent="0.25">
      <c r="B434" t="s">
        <v>455</v>
      </c>
      <c r="C434" t="s">
        <v>14</v>
      </c>
      <c r="D434">
        <f>VLOOKUP(C434,customers[],3,0)</f>
        <v>22</v>
      </c>
      <c r="E434" t="str">
        <f>VLOOKUP(C434,customers[],2,0)</f>
        <v>Female</v>
      </c>
      <c r="F434" t="str">
        <f>VLOOKUP(C434,customers[],4,0)</f>
        <v>Cleveland</v>
      </c>
      <c r="G434">
        <v>81</v>
      </c>
      <c r="H434" s="17" t="s">
        <v>8</v>
      </c>
      <c r="I434" s="18">
        <v>45045</v>
      </c>
      <c r="J434">
        <v>78</v>
      </c>
      <c r="K434">
        <v>2.9</v>
      </c>
      <c r="L434">
        <f>IF(MONTH(calls[[#This Row],[Date of Call]])&lt;=6, YEAR(calls[[#This Row],[Date of Call]]), YEAR(calls[[#This Row],[Date of Call]])+1)</f>
        <v>2023</v>
      </c>
      <c r="M434" t="str">
        <f>TEXT(calls[[#This Row],[Date of Call]],"DDDD")</f>
        <v>السبت</v>
      </c>
      <c r="N434" t="str" cm="1">
        <f t="array" ref="N434">_xlfn.IFS(calls[[#This Row],[Duration]]&lt;=10,"Under 10 mins", calls[[#This Row],[Duration]]&lt;=30, "10 to 30 mins", calls[[#This Row],[Duration]]&lt;=60, "30 to 60 mins", calls[[#This Row],[Duration]]&lt;=120, "1 to 2 hours", TRUE, "More than 2 hours")</f>
        <v>1 to 2 hours</v>
      </c>
      <c r="O434">
        <f>ROUND(calls[[#This Row],[Satisfaction Rating]],0)</f>
        <v>3</v>
      </c>
    </row>
    <row r="435" spans="2:15" x14ac:dyDescent="0.25">
      <c r="B435" t="s">
        <v>456</v>
      </c>
      <c r="C435" t="s">
        <v>14</v>
      </c>
      <c r="D435">
        <f>VLOOKUP(C435,customers[],3,0)</f>
        <v>22</v>
      </c>
      <c r="E435" t="str">
        <f>VLOOKUP(C435,customers[],2,0)</f>
        <v>Female</v>
      </c>
      <c r="F435" t="str">
        <f>VLOOKUP(C435,customers[],4,0)</f>
        <v>Cleveland</v>
      </c>
      <c r="G435">
        <v>81</v>
      </c>
      <c r="H435" s="17" t="s">
        <v>12</v>
      </c>
      <c r="I435" s="18">
        <v>45045</v>
      </c>
      <c r="J435">
        <v>40</v>
      </c>
      <c r="K435">
        <v>2.4</v>
      </c>
      <c r="L435">
        <f>IF(MONTH(calls[[#This Row],[Date of Call]])&lt;=6, YEAR(calls[[#This Row],[Date of Call]]), YEAR(calls[[#This Row],[Date of Call]])+1)</f>
        <v>2023</v>
      </c>
      <c r="M435" t="str">
        <f>TEXT(calls[[#This Row],[Date of Call]],"DDDD")</f>
        <v>السبت</v>
      </c>
      <c r="N435" t="str" cm="1">
        <f t="array" ref="N435">_xlfn.IFS(calls[[#This Row],[Duration]]&lt;=10,"Under 10 mins", calls[[#This Row],[Duration]]&lt;=30, "10 to 30 mins", calls[[#This Row],[Duration]]&lt;=60, "30 to 60 mins", calls[[#This Row],[Duration]]&lt;=120, "1 to 2 hours", TRUE, "More than 2 hours")</f>
        <v>1 to 2 hours</v>
      </c>
      <c r="O435">
        <f>ROUND(calls[[#This Row],[Satisfaction Rating]],0)</f>
        <v>2</v>
      </c>
    </row>
    <row r="436" spans="2:15" x14ac:dyDescent="0.25">
      <c r="B436" t="s">
        <v>457</v>
      </c>
      <c r="C436" t="s">
        <v>21</v>
      </c>
      <c r="D436">
        <f>VLOOKUP(C436,customers[],3,0)</f>
        <v>25</v>
      </c>
      <c r="E436" t="str">
        <f>VLOOKUP(C436,customers[],2,0)</f>
        <v>Female</v>
      </c>
      <c r="F436" t="str">
        <f>VLOOKUP(C436,customers[],4,0)</f>
        <v>Columbus</v>
      </c>
      <c r="G436">
        <v>93</v>
      </c>
      <c r="H436" s="17" t="s">
        <v>10</v>
      </c>
      <c r="I436" s="18">
        <v>45045</v>
      </c>
      <c r="J436">
        <v>150</v>
      </c>
      <c r="K436">
        <v>4.5999999999999996</v>
      </c>
      <c r="L436">
        <f>IF(MONTH(calls[[#This Row],[Date of Call]])&lt;=6, YEAR(calls[[#This Row],[Date of Call]]), YEAR(calls[[#This Row],[Date of Call]])+1)</f>
        <v>2023</v>
      </c>
      <c r="M436" t="str">
        <f>TEXT(calls[[#This Row],[Date of Call]],"DDDD")</f>
        <v>السبت</v>
      </c>
      <c r="N436" t="str" cm="1">
        <f t="array" ref="N436">_xlfn.IFS(calls[[#This Row],[Duration]]&lt;=10,"Under 10 mins", calls[[#This Row],[Duration]]&lt;=30, "10 to 30 mins", calls[[#This Row],[Duration]]&lt;=60, "30 to 60 mins", calls[[#This Row],[Duration]]&lt;=120, "1 to 2 hours", TRUE, "More than 2 hours")</f>
        <v>1 to 2 hours</v>
      </c>
      <c r="O436">
        <f>ROUND(calls[[#This Row],[Satisfaction Rating]],0)</f>
        <v>5</v>
      </c>
    </row>
    <row r="437" spans="2:15" x14ac:dyDescent="0.25">
      <c r="B437" t="s">
        <v>458</v>
      </c>
      <c r="C437" t="s">
        <v>22</v>
      </c>
      <c r="D437">
        <f>VLOOKUP(C437,customers[],3,0)</f>
        <v>37</v>
      </c>
      <c r="E437" t="str">
        <f>VLOOKUP(C437,customers[],2,0)</f>
        <v>Male</v>
      </c>
      <c r="F437" t="str">
        <f>VLOOKUP(C437,customers[],4,0)</f>
        <v>Columbus</v>
      </c>
      <c r="G437">
        <v>14</v>
      </c>
      <c r="H437" s="17" t="s">
        <v>8</v>
      </c>
      <c r="I437" s="18">
        <v>45045</v>
      </c>
      <c r="J437">
        <v>96</v>
      </c>
      <c r="K437">
        <v>4.8</v>
      </c>
      <c r="L437">
        <f>IF(MONTH(calls[[#This Row],[Date of Call]])&lt;=6, YEAR(calls[[#This Row],[Date of Call]]), YEAR(calls[[#This Row],[Date of Call]])+1)</f>
        <v>2023</v>
      </c>
      <c r="M437" t="str">
        <f>TEXT(calls[[#This Row],[Date of Call]],"DDDD")</f>
        <v>السبت</v>
      </c>
      <c r="N437" t="str" cm="1">
        <f t="array" ref="N437">_xlfn.IFS(calls[[#This Row],[Duration]]&lt;=10,"Under 10 mins", calls[[#This Row],[Duration]]&lt;=30, "10 to 30 mins", calls[[#This Row],[Duration]]&lt;=60, "30 to 60 mins", calls[[#This Row],[Duration]]&lt;=120, "1 to 2 hours", TRUE, "More than 2 hours")</f>
        <v>10 to 30 mins</v>
      </c>
      <c r="O437">
        <f>ROUND(calls[[#This Row],[Satisfaction Rating]],0)</f>
        <v>5</v>
      </c>
    </row>
    <row r="438" spans="2:15" x14ac:dyDescent="0.25">
      <c r="B438" t="s">
        <v>459</v>
      </c>
      <c r="C438" t="s">
        <v>23</v>
      </c>
      <c r="D438">
        <f>VLOOKUP(C438,customers[],3,0)</f>
        <v>31</v>
      </c>
      <c r="E438" t="str">
        <f>VLOOKUP(C438,customers[],2,0)</f>
        <v>Male</v>
      </c>
      <c r="F438" t="str">
        <f>VLOOKUP(C438,customers[],4,0)</f>
        <v>Cleveland</v>
      </c>
      <c r="G438">
        <v>95</v>
      </c>
      <c r="H438" s="17" t="s">
        <v>12</v>
      </c>
      <c r="I438" s="18">
        <v>45046</v>
      </c>
      <c r="J438">
        <v>75</v>
      </c>
      <c r="K438">
        <v>4.8</v>
      </c>
      <c r="L438">
        <f>IF(MONTH(calls[[#This Row],[Date of Call]])&lt;=6, YEAR(calls[[#This Row],[Date of Call]]), YEAR(calls[[#This Row],[Date of Call]])+1)</f>
        <v>2023</v>
      </c>
      <c r="M438" t="str">
        <f>TEXT(calls[[#This Row],[Date of Call]],"DDDD")</f>
        <v>الأحد</v>
      </c>
      <c r="N438" t="str" cm="1">
        <f t="array" ref="N438">_xlfn.IFS(calls[[#This Row],[Duration]]&lt;=10,"Under 10 mins", calls[[#This Row],[Duration]]&lt;=30, "10 to 30 mins", calls[[#This Row],[Duration]]&lt;=60, "30 to 60 mins", calls[[#This Row],[Duration]]&lt;=120, "1 to 2 hours", TRUE, "More than 2 hours")</f>
        <v>1 to 2 hours</v>
      </c>
      <c r="O438">
        <f>ROUND(calls[[#This Row],[Satisfaction Rating]],0)</f>
        <v>5</v>
      </c>
    </row>
    <row r="439" spans="2:15" x14ac:dyDescent="0.25">
      <c r="B439" t="s">
        <v>460</v>
      </c>
      <c r="C439" t="s">
        <v>21</v>
      </c>
      <c r="D439">
        <f>VLOOKUP(C439,customers[],3,0)</f>
        <v>25</v>
      </c>
      <c r="E439" t="str">
        <f>VLOOKUP(C439,customers[],2,0)</f>
        <v>Female</v>
      </c>
      <c r="F439" t="str">
        <f>VLOOKUP(C439,customers[],4,0)</f>
        <v>Columbus</v>
      </c>
      <c r="G439">
        <v>81</v>
      </c>
      <c r="H439" s="17" t="s">
        <v>12</v>
      </c>
      <c r="I439" s="18">
        <v>45046</v>
      </c>
      <c r="J439">
        <v>60</v>
      </c>
      <c r="K439">
        <v>3.6</v>
      </c>
      <c r="L439">
        <f>IF(MONTH(calls[[#This Row],[Date of Call]])&lt;=6, YEAR(calls[[#This Row],[Date of Call]]), YEAR(calls[[#This Row],[Date of Call]])+1)</f>
        <v>2023</v>
      </c>
      <c r="M439" t="str">
        <f>TEXT(calls[[#This Row],[Date of Call]],"DDDD")</f>
        <v>الأحد</v>
      </c>
      <c r="N439" t="str" cm="1">
        <f t="array" ref="N439">_xlfn.IFS(calls[[#This Row],[Duration]]&lt;=10,"Under 10 mins", calls[[#This Row],[Duration]]&lt;=30, "10 to 30 mins", calls[[#This Row],[Duration]]&lt;=60, "30 to 60 mins", calls[[#This Row],[Duration]]&lt;=120, "1 to 2 hours", TRUE, "More than 2 hours")</f>
        <v>1 to 2 hours</v>
      </c>
      <c r="O439">
        <f>ROUND(calls[[#This Row],[Satisfaction Rating]],0)</f>
        <v>4</v>
      </c>
    </row>
    <row r="440" spans="2:15" x14ac:dyDescent="0.25">
      <c r="B440" t="s">
        <v>461</v>
      </c>
      <c r="C440" t="s">
        <v>4</v>
      </c>
      <c r="D440">
        <f>VLOOKUP(C440,customers[],3,0)</f>
        <v>42</v>
      </c>
      <c r="E440" t="str">
        <f>VLOOKUP(C440,customers[],2,0)</f>
        <v>Female</v>
      </c>
      <c r="F440" t="str">
        <f>VLOOKUP(C440,customers[],4,0)</f>
        <v>Cleveland</v>
      </c>
      <c r="G440">
        <v>60</v>
      </c>
      <c r="H440" s="17" t="s">
        <v>8</v>
      </c>
      <c r="I440" s="18">
        <v>45047</v>
      </c>
      <c r="J440">
        <v>41</v>
      </c>
      <c r="K440">
        <v>4.8</v>
      </c>
      <c r="L440">
        <f>IF(MONTH(calls[[#This Row],[Date of Call]])&lt;=6, YEAR(calls[[#This Row],[Date of Call]]), YEAR(calls[[#This Row],[Date of Call]])+1)</f>
        <v>2023</v>
      </c>
      <c r="M440" t="str">
        <f>TEXT(calls[[#This Row],[Date of Call]],"DDDD")</f>
        <v>الإثنين</v>
      </c>
      <c r="N440" t="str" cm="1">
        <f t="array" ref="N440">_xlfn.IFS(calls[[#This Row],[Duration]]&lt;=10,"Under 10 mins", calls[[#This Row],[Duration]]&lt;=30, "10 to 30 mins", calls[[#This Row],[Duration]]&lt;=60, "30 to 60 mins", calls[[#This Row],[Duration]]&lt;=120, "1 to 2 hours", TRUE, "More than 2 hours")</f>
        <v>30 to 60 mins</v>
      </c>
      <c r="O440">
        <f>ROUND(calls[[#This Row],[Satisfaction Rating]],0)</f>
        <v>5</v>
      </c>
    </row>
    <row r="441" spans="2:15" x14ac:dyDescent="0.25">
      <c r="B441" t="s">
        <v>462</v>
      </c>
      <c r="C441" t="s">
        <v>13</v>
      </c>
      <c r="D441">
        <f>VLOOKUP(C441,customers[],3,0)</f>
        <v>37</v>
      </c>
      <c r="E441" t="str">
        <f>VLOOKUP(C441,customers[],2,0)</f>
        <v>Female</v>
      </c>
      <c r="F441" t="str">
        <f>VLOOKUP(C441,customers[],4,0)</f>
        <v>Cleveland</v>
      </c>
      <c r="G441">
        <v>137</v>
      </c>
      <c r="H441" s="17" t="s">
        <v>10</v>
      </c>
      <c r="I441" s="18">
        <v>45047</v>
      </c>
      <c r="J441">
        <v>20</v>
      </c>
      <c r="K441">
        <v>4.2</v>
      </c>
      <c r="L441">
        <f>IF(MONTH(calls[[#This Row],[Date of Call]])&lt;=6, YEAR(calls[[#This Row],[Date of Call]]), YEAR(calls[[#This Row],[Date of Call]])+1)</f>
        <v>2023</v>
      </c>
      <c r="M441" t="str">
        <f>TEXT(calls[[#This Row],[Date of Call]],"DDDD")</f>
        <v>الإثنين</v>
      </c>
      <c r="N441" t="str" cm="1">
        <f t="array" ref="N441">_xlfn.IFS(calls[[#This Row],[Duration]]&lt;=10,"Under 10 mins", calls[[#This Row],[Duration]]&lt;=30, "10 to 30 mins", calls[[#This Row],[Duration]]&lt;=60, "30 to 60 mins", calls[[#This Row],[Duration]]&lt;=120, "1 to 2 hours", TRUE, "More than 2 hours")</f>
        <v>More than 2 hours</v>
      </c>
      <c r="O441">
        <f>ROUND(calls[[#This Row],[Satisfaction Rating]],0)</f>
        <v>4</v>
      </c>
    </row>
    <row r="442" spans="2:15" x14ac:dyDescent="0.25">
      <c r="B442" t="s">
        <v>463</v>
      </c>
      <c r="C442" t="s">
        <v>11</v>
      </c>
      <c r="D442">
        <f>VLOOKUP(C442,customers[],3,0)</f>
        <v>36</v>
      </c>
      <c r="E442" t="str">
        <f>VLOOKUP(C442,customers[],2,0)</f>
        <v>Male</v>
      </c>
      <c r="F442" t="str">
        <f>VLOOKUP(C442,customers[],4,0)</f>
        <v>Cincinnati</v>
      </c>
      <c r="G442">
        <v>112</v>
      </c>
      <c r="H442" s="17" t="s">
        <v>5</v>
      </c>
      <c r="I442" s="18">
        <v>45047</v>
      </c>
      <c r="J442">
        <v>84</v>
      </c>
      <c r="K442">
        <v>2.6</v>
      </c>
      <c r="L442">
        <f>IF(MONTH(calls[[#This Row],[Date of Call]])&lt;=6, YEAR(calls[[#This Row],[Date of Call]]), YEAR(calls[[#This Row],[Date of Call]])+1)</f>
        <v>2023</v>
      </c>
      <c r="M442" t="str">
        <f>TEXT(calls[[#This Row],[Date of Call]],"DDDD")</f>
        <v>الإثنين</v>
      </c>
      <c r="N442" t="str" cm="1">
        <f t="array" ref="N442">_xlfn.IFS(calls[[#This Row],[Duration]]&lt;=10,"Under 10 mins", calls[[#This Row],[Duration]]&lt;=30, "10 to 30 mins", calls[[#This Row],[Duration]]&lt;=60, "30 to 60 mins", calls[[#This Row],[Duration]]&lt;=120, "1 to 2 hours", TRUE, "More than 2 hours")</f>
        <v>1 to 2 hours</v>
      </c>
      <c r="O442">
        <f>ROUND(calls[[#This Row],[Satisfaction Rating]],0)</f>
        <v>3</v>
      </c>
    </row>
    <row r="443" spans="2:15" x14ac:dyDescent="0.25">
      <c r="B443" t="s">
        <v>464</v>
      </c>
      <c r="C443" t="s">
        <v>23</v>
      </c>
      <c r="D443">
        <f>VLOOKUP(C443,customers[],3,0)</f>
        <v>31</v>
      </c>
      <c r="E443" t="str">
        <f>VLOOKUP(C443,customers[],2,0)</f>
        <v>Male</v>
      </c>
      <c r="F443" t="str">
        <f>VLOOKUP(C443,customers[],4,0)</f>
        <v>Cleveland</v>
      </c>
      <c r="G443">
        <v>76</v>
      </c>
      <c r="H443" s="17" t="s">
        <v>9</v>
      </c>
      <c r="I443" s="18">
        <v>45047</v>
      </c>
      <c r="J443">
        <v>140</v>
      </c>
      <c r="K443">
        <v>3.7</v>
      </c>
      <c r="L443">
        <f>IF(MONTH(calls[[#This Row],[Date of Call]])&lt;=6, YEAR(calls[[#This Row],[Date of Call]]), YEAR(calls[[#This Row],[Date of Call]])+1)</f>
        <v>2023</v>
      </c>
      <c r="M443" t="str">
        <f>TEXT(calls[[#This Row],[Date of Call]],"DDDD")</f>
        <v>الإثنين</v>
      </c>
      <c r="N443" t="str" cm="1">
        <f t="array" ref="N443">_xlfn.IFS(calls[[#This Row],[Duration]]&lt;=10,"Under 10 mins", calls[[#This Row],[Duration]]&lt;=30, "10 to 30 mins", calls[[#This Row],[Duration]]&lt;=60, "30 to 60 mins", calls[[#This Row],[Duration]]&lt;=120, "1 to 2 hours", TRUE, "More than 2 hours")</f>
        <v>1 to 2 hours</v>
      </c>
      <c r="O443">
        <f>ROUND(calls[[#This Row],[Satisfaction Rating]],0)</f>
        <v>4</v>
      </c>
    </row>
    <row r="444" spans="2:15" x14ac:dyDescent="0.25">
      <c r="B444" t="s">
        <v>465</v>
      </c>
      <c r="C444" t="s">
        <v>18</v>
      </c>
      <c r="D444">
        <f>VLOOKUP(C444,customers[],3,0)</f>
        <v>43</v>
      </c>
      <c r="E444" t="str">
        <f>VLOOKUP(C444,customers[],2,0)</f>
        <v>Female</v>
      </c>
      <c r="F444" t="str">
        <f>VLOOKUP(C444,customers[],4,0)</f>
        <v>Cleveland</v>
      </c>
      <c r="G444">
        <v>73</v>
      </c>
      <c r="H444" s="17" t="s">
        <v>8</v>
      </c>
      <c r="I444" s="18">
        <v>45047</v>
      </c>
      <c r="J444">
        <v>66</v>
      </c>
      <c r="K444">
        <v>4.8</v>
      </c>
      <c r="L444">
        <f>IF(MONTH(calls[[#This Row],[Date of Call]])&lt;=6, YEAR(calls[[#This Row],[Date of Call]]), YEAR(calls[[#This Row],[Date of Call]])+1)</f>
        <v>2023</v>
      </c>
      <c r="M444" t="str">
        <f>TEXT(calls[[#This Row],[Date of Call]],"DDDD")</f>
        <v>الإثنين</v>
      </c>
      <c r="N444" t="str" cm="1">
        <f t="array" ref="N444">_xlfn.IFS(calls[[#This Row],[Duration]]&lt;=10,"Under 10 mins", calls[[#This Row],[Duration]]&lt;=30, "10 to 30 mins", calls[[#This Row],[Duration]]&lt;=60, "30 to 60 mins", calls[[#This Row],[Duration]]&lt;=120, "1 to 2 hours", TRUE, "More than 2 hours")</f>
        <v>1 to 2 hours</v>
      </c>
      <c r="O444">
        <f>ROUND(calls[[#This Row],[Satisfaction Rating]],0)</f>
        <v>5</v>
      </c>
    </row>
    <row r="445" spans="2:15" x14ac:dyDescent="0.25">
      <c r="B445" t="s">
        <v>466</v>
      </c>
      <c r="C445" t="s">
        <v>17</v>
      </c>
      <c r="D445">
        <f>VLOOKUP(C445,customers[],3,0)</f>
        <v>30</v>
      </c>
      <c r="E445" t="str">
        <f>VLOOKUP(C445,customers[],2,0)</f>
        <v>Female</v>
      </c>
      <c r="F445" t="str">
        <f>VLOOKUP(C445,customers[],4,0)</f>
        <v>Cleveland</v>
      </c>
      <c r="G445">
        <v>119</v>
      </c>
      <c r="H445" s="17" t="s">
        <v>10</v>
      </c>
      <c r="I445" s="18">
        <v>45047</v>
      </c>
      <c r="J445">
        <v>105</v>
      </c>
      <c r="K445">
        <v>4.7</v>
      </c>
      <c r="L445">
        <f>IF(MONTH(calls[[#This Row],[Date of Call]])&lt;=6, YEAR(calls[[#This Row],[Date of Call]]), YEAR(calls[[#This Row],[Date of Call]])+1)</f>
        <v>2023</v>
      </c>
      <c r="M445" t="str">
        <f>TEXT(calls[[#This Row],[Date of Call]],"DDDD")</f>
        <v>الإثنين</v>
      </c>
      <c r="N445" t="str" cm="1">
        <f t="array" ref="N445">_xlfn.IFS(calls[[#This Row],[Duration]]&lt;=10,"Under 10 mins", calls[[#This Row],[Duration]]&lt;=30, "10 to 30 mins", calls[[#This Row],[Duration]]&lt;=60, "30 to 60 mins", calls[[#This Row],[Duration]]&lt;=120, "1 to 2 hours", TRUE, "More than 2 hours")</f>
        <v>1 to 2 hours</v>
      </c>
      <c r="O445">
        <f>ROUND(calls[[#This Row],[Satisfaction Rating]],0)</f>
        <v>5</v>
      </c>
    </row>
    <row r="446" spans="2:15" x14ac:dyDescent="0.25">
      <c r="B446" t="s">
        <v>467</v>
      </c>
      <c r="C446" t="s">
        <v>19</v>
      </c>
      <c r="D446">
        <f>VLOOKUP(C446,customers[],3,0)</f>
        <v>26</v>
      </c>
      <c r="E446" t="str">
        <f>VLOOKUP(C446,customers[],2,0)</f>
        <v>Male</v>
      </c>
      <c r="F446" t="str">
        <f>VLOOKUP(C446,customers[],4,0)</f>
        <v>Cincinnati</v>
      </c>
      <c r="G446">
        <v>135</v>
      </c>
      <c r="H446" s="17" t="s">
        <v>12</v>
      </c>
      <c r="I446" s="18">
        <v>45048</v>
      </c>
      <c r="J446">
        <v>104</v>
      </c>
      <c r="K446">
        <v>4.0999999999999996</v>
      </c>
      <c r="L446">
        <f>IF(MONTH(calls[[#This Row],[Date of Call]])&lt;=6, YEAR(calls[[#This Row],[Date of Call]]), YEAR(calls[[#This Row],[Date of Call]])+1)</f>
        <v>2023</v>
      </c>
      <c r="M446" t="str">
        <f>TEXT(calls[[#This Row],[Date of Call]],"DDDD")</f>
        <v>الثلاثاء</v>
      </c>
      <c r="N446" t="str" cm="1">
        <f t="array" ref="N446">_xlfn.IFS(calls[[#This Row],[Duration]]&lt;=10,"Under 10 mins", calls[[#This Row],[Duration]]&lt;=30, "10 to 30 mins", calls[[#This Row],[Duration]]&lt;=60, "30 to 60 mins", calls[[#This Row],[Duration]]&lt;=120, "1 to 2 hours", TRUE, "More than 2 hours")</f>
        <v>More than 2 hours</v>
      </c>
      <c r="O446">
        <f>ROUND(calls[[#This Row],[Satisfaction Rating]],0)</f>
        <v>4</v>
      </c>
    </row>
    <row r="447" spans="2:15" x14ac:dyDescent="0.25">
      <c r="B447" t="s">
        <v>468</v>
      </c>
      <c r="C447" t="s">
        <v>13</v>
      </c>
      <c r="D447">
        <f>VLOOKUP(C447,customers[],3,0)</f>
        <v>37</v>
      </c>
      <c r="E447" t="str">
        <f>VLOOKUP(C447,customers[],2,0)</f>
        <v>Female</v>
      </c>
      <c r="F447" t="str">
        <f>VLOOKUP(C447,customers[],4,0)</f>
        <v>Cleveland</v>
      </c>
      <c r="G447">
        <v>41</v>
      </c>
      <c r="H447" s="17" t="s">
        <v>5</v>
      </c>
      <c r="I447" s="18">
        <v>45048</v>
      </c>
      <c r="J447">
        <v>123</v>
      </c>
      <c r="K447">
        <v>3.2</v>
      </c>
      <c r="L447">
        <f>IF(MONTH(calls[[#This Row],[Date of Call]])&lt;=6, YEAR(calls[[#This Row],[Date of Call]]), YEAR(calls[[#This Row],[Date of Call]])+1)</f>
        <v>2023</v>
      </c>
      <c r="M447" t="str">
        <f>TEXT(calls[[#This Row],[Date of Call]],"DDDD")</f>
        <v>الثلاثاء</v>
      </c>
      <c r="N447" t="str" cm="1">
        <f t="array" ref="N447">_xlfn.IFS(calls[[#This Row],[Duration]]&lt;=10,"Under 10 mins", calls[[#This Row],[Duration]]&lt;=30, "10 to 30 mins", calls[[#This Row],[Duration]]&lt;=60, "30 to 60 mins", calls[[#This Row],[Duration]]&lt;=120, "1 to 2 hours", TRUE, "More than 2 hours")</f>
        <v>30 to 60 mins</v>
      </c>
      <c r="O447">
        <f>ROUND(calls[[#This Row],[Satisfaction Rating]],0)</f>
        <v>3</v>
      </c>
    </row>
    <row r="448" spans="2:15" x14ac:dyDescent="0.25">
      <c r="B448" t="s">
        <v>469</v>
      </c>
      <c r="C448" t="s">
        <v>22</v>
      </c>
      <c r="D448">
        <f>VLOOKUP(C448,customers[],3,0)</f>
        <v>37</v>
      </c>
      <c r="E448" t="str">
        <f>VLOOKUP(C448,customers[],2,0)</f>
        <v>Male</v>
      </c>
      <c r="F448" t="str">
        <f>VLOOKUP(C448,customers[],4,0)</f>
        <v>Columbus</v>
      </c>
      <c r="G448">
        <v>35</v>
      </c>
      <c r="H448" s="17" t="s">
        <v>12</v>
      </c>
      <c r="I448" s="18">
        <v>45049</v>
      </c>
      <c r="J448">
        <v>215</v>
      </c>
      <c r="K448">
        <v>4.3</v>
      </c>
      <c r="L448">
        <f>IF(MONTH(calls[[#This Row],[Date of Call]])&lt;=6, YEAR(calls[[#This Row],[Date of Call]]), YEAR(calls[[#This Row],[Date of Call]])+1)</f>
        <v>2023</v>
      </c>
      <c r="M448" t="str">
        <f>TEXT(calls[[#This Row],[Date of Call]],"DDDD")</f>
        <v>الأربعاء</v>
      </c>
      <c r="N448" t="str" cm="1">
        <f t="array" ref="N448">_xlfn.IFS(calls[[#This Row],[Duration]]&lt;=10,"Under 10 mins", calls[[#This Row],[Duration]]&lt;=30, "10 to 30 mins", calls[[#This Row],[Duration]]&lt;=60, "30 to 60 mins", calls[[#This Row],[Duration]]&lt;=120, "1 to 2 hours", TRUE, "More than 2 hours")</f>
        <v>30 to 60 mins</v>
      </c>
      <c r="O448">
        <f>ROUND(calls[[#This Row],[Satisfaction Rating]],0)</f>
        <v>4</v>
      </c>
    </row>
    <row r="449" spans="2:15" x14ac:dyDescent="0.25">
      <c r="B449" t="s">
        <v>470</v>
      </c>
      <c r="C449" t="s">
        <v>19</v>
      </c>
      <c r="D449">
        <f>VLOOKUP(C449,customers[],3,0)</f>
        <v>26</v>
      </c>
      <c r="E449" t="str">
        <f>VLOOKUP(C449,customers[],2,0)</f>
        <v>Male</v>
      </c>
      <c r="F449" t="str">
        <f>VLOOKUP(C449,customers[],4,0)</f>
        <v>Cincinnati</v>
      </c>
      <c r="G449">
        <v>96</v>
      </c>
      <c r="H449" s="17" t="s">
        <v>8</v>
      </c>
      <c r="I449" s="18">
        <v>45049</v>
      </c>
      <c r="J449">
        <v>46</v>
      </c>
      <c r="K449">
        <v>0.7</v>
      </c>
      <c r="L449">
        <f>IF(MONTH(calls[[#This Row],[Date of Call]])&lt;=6, YEAR(calls[[#This Row],[Date of Call]]), YEAR(calls[[#This Row],[Date of Call]])+1)</f>
        <v>2023</v>
      </c>
      <c r="M449" t="str">
        <f>TEXT(calls[[#This Row],[Date of Call]],"DDDD")</f>
        <v>الأربعاء</v>
      </c>
      <c r="N449" t="str" cm="1">
        <f t="array" ref="N449">_xlfn.IFS(calls[[#This Row],[Duration]]&lt;=10,"Under 10 mins", calls[[#This Row],[Duration]]&lt;=30, "10 to 30 mins", calls[[#This Row],[Duration]]&lt;=60, "30 to 60 mins", calls[[#This Row],[Duration]]&lt;=120, "1 to 2 hours", TRUE, "More than 2 hours")</f>
        <v>1 to 2 hours</v>
      </c>
      <c r="O449">
        <f>ROUND(calls[[#This Row],[Satisfaction Rating]],0)</f>
        <v>1</v>
      </c>
    </row>
    <row r="450" spans="2:15" x14ac:dyDescent="0.25">
      <c r="B450" t="s">
        <v>471</v>
      </c>
      <c r="C450" t="s">
        <v>21</v>
      </c>
      <c r="D450">
        <f>VLOOKUP(C450,customers[],3,0)</f>
        <v>25</v>
      </c>
      <c r="E450" t="str">
        <f>VLOOKUP(C450,customers[],2,0)</f>
        <v>Female</v>
      </c>
      <c r="F450" t="str">
        <f>VLOOKUP(C450,customers[],4,0)</f>
        <v>Columbus</v>
      </c>
      <c r="G450">
        <v>61</v>
      </c>
      <c r="H450" s="17" t="s">
        <v>5</v>
      </c>
      <c r="I450" s="18">
        <v>45049</v>
      </c>
      <c r="J450">
        <v>115</v>
      </c>
      <c r="K450">
        <v>3.7</v>
      </c>
      <c r="L450">
        <f>IF(MONTH(calls[[#This Row],[Date of Call]])&lt;=6, YEAR(calls[[#This Row],[Date of Call]]), YEAR(calls[[#This Row],[Date of Call]])+1)</f>
        <v>2023</v>
      </c>
      <c r="M450" t="str">
        <f>TEXT(calls[[#This Row],[Date of Call]],"DDDD")</f>
        <v>الأربعاء</v>
      </c>
      <c r="N450" t="str" cm="1">
        <f t="array" ref="N450">_xlfn.IFS(calls[[#This Row],[Duration]]&lt;=10,"Under 10 mins", calls[[#This Row],[Duration]]&lt;=30, "10 to 30 mins", calls[[#This Row],[Duration]]&lt;=60, "30 to 60 mins", calls[[#This Row],[Duration]]&lt;=120, "1 to 2 hours", TRUE, "More than 2 hours")</f>
        <v>1 to 2 hours</v>
      </c>
      <c r="O450">
        <f>ROUND(calls[[#This Row],[Satisfaction Rating]],0)</f>
        <v>4</v>
      </c>
    </row>
    <row r="451" spans="2:15" x14ac:dyDescent="0.25">
      <c r="B451" t="s">
        <v>472</v>
      </c>
      <c r="C451" t="s">
        <v>19</v>
      </c>
      <c r="D451">
        <f>VLOOKUP(C451,customers[],3,0)</f>
        <v>26</v>
      </c>
      <c r="E451" t="str">
        <f>VLOOKUP(C451,customers[],2,0)</f>
        <v>Male</v>
      </c>
      <c r="F451" t="str">
        <f>VLOOKUP(C451,customers[],4,0)</f>
        <v>Cincinnati</v>
      </c>
      <c r="G451">
        <v>91</v>
      </c>
      <c r="H451" s="17" t="s">
        <v>5</v>
      </c>
      <c r="I451" s="18">
        <v>45049</v>
      </c>
      <c r="J451">
        <v>124</v>
      </c>
      <c r="K451">
        <v>3.9</v>
      </c>
      <c r="L451">
        <f>IF(MONTH(calls[[#This Row],[Date of Call]])&lt;=6, YEAR(calls[[#This Row],[Date of Call]]), YEAR(calls[[#This Row],[Date of Call]])+1)</f>
        <v>2023</v>
      </c>
      <c r="M451" t="str">
        <f>TEXT(calls[[#This Row],[Date of Call]],"DDDD")</f>
        <v>الأربعاء</v>
      </c>
      <c r="N451" t="str" cm="1">
        <f t="array" ref="N451">_xlfn.IFS(calls[[#This Row],[Duration]]&lt;=10,"Under 10 mins", calls[[#This Row],[Duration]]&lt;=30, "10 to 30 mins", calls[[#This Row],[Duration]]&lt;=60, "30 to 60 mins", calls[[#This Row],[Duration]]&lt;=120, "1 to 2 hours", TRUE, "More than 2 hours")</f>
        <v>1 to 2 hours</v>
      </c>
      <c r="O451">
        <f>ROUND(calls[[#This Row],[Satisfaction Rating]],0)</f>
        <v>4</v>
      </c>
    </row>
    <row r="452" spans="2:15" x14ac:dyDescent="0.25">
      <c r="B452" t="s">
        <v>473</v>
      </c>
      <c r="C452" t="s">
        <v>16</v>
      </c>
      <c r="D452">
        <f>VLOOKUP(C452,customers[],3,0)</f>
        <v>41</v>
      </c>
      <c r="E452" t="str">
        <f>VLOOKUP(C452,customers[],2,0)</f>
        <v>Male</v>
      </c>
      <c r="F452" t="str">
        <f>VLOOKUP(C452,customers[],4,0)</f>
        <v>Columbus</v>
      </c>
      <c r="G452">
        <v>30</v>
      </c>
      <c r="H452" s="17" t="s">
        <v>5</v>
      </c>
      <c r="I452" s="18">
        <v>45050</v>
      </c>
      <c r="J452">
        <v>205</v>
      </c>
      <c r="K452">
        <v>4.5</v>
      </c>
      <c r="L452">
        <f>IF(MONTH(calls[[#This Row],[Date of Call]])&lt;=6, YEAR(calls[[#This Row],[Date of Call]]), YEAR(calls[[#This Row],[Date of Call]])+1)</f>
        <v>2023</v>
      </c>
      <c r="M452" t="str">
        <f>TEXT(calls[[#This Row],[Date of Call]],"DDDD")</f>
        <v>الخميس</v>
      </c>
      <c r="N452" t="str" cm="1">
        <f t="array" ref="N452">_xlfn.IFS(calls[[#This Row],[Duration]]&lt;=10,"Under 10 mins", calls[[#This Row],[Duration]]&lt;=30, "10 to 30 mins", calls[[#This Row],[Duration]]&lt;=60, "30 to 60 mins", calls[[#This Row],[Duration]]&lt;=120, "1 to 2 hours", TRUE, "More than 2 hours")</f>
        <v>10 to 30 mins</v>
      </c>
      <c r="O452">
        <f>ROUND(calls[[#This Row],[Satisfaction Rating]],0)</f>
        <v>5</v>
      </c>
    </row>
    <row r="453" spans="2:15" x14ac:dyDescent="0.25">
      <c r="B453" t="s">
        <v>474</v>
      </c>
      <c r="C453" t="s">
        <v>4</v>
      </c>
      <c r="D453">
        <f>VLOOKUP(C453,customers[],3,0)</f>
        <v>42</v>
      </c>
      <c r="E453" t="str">
        <f>VLOOKUP(C453,customers[],2,0)</f>
        <v>Female</v>
      </c>
      <c r="F453" t="str">
        <f>VLOOKUP(C453,customers[],4,0)</f>
        <v>Cleveland</v>
      </c>
      <c r="G453">
        <v>111</v>
      </c>
      <c r="H453" s="17" t="s">
        <v>10</v>
      </c>
      <c r="I453" s="18">
        <v>45050</v>
      </c>
      <c r="J453">
        <v>90</v>
      </c>
      <c r="K453">
        <v>2.8</v>
      </c>
      <c r="L453">
        <f>IF(MONTH(calls[[#This Row],[Date of Call]])&lt;=6, YEAR(calls[[#This Row],[Date of Call]]), YEAR(calls[[#This Row],[Date of Call]])+1)</f>
        <v>2023</v>
      </c>
      <c r="M453" t="str">
        <f>TEXT(calls[[#This Row],[Date of Call]],"DDDD")</f>
        <v>الخميس</v>
      </c>
      <c r="N453" t="str" cm="1">
        <f t="array" ref="N453">_xlfn.IFS(calls[[#This Row],[Duration]]&lt;=10,"Under 10 mins", calls[[#This Row],[Duration]]&lt;=30, "10 to 30 mins", calls[[#This Row],[Duration]]&lt;=60, "30 to 60 mins", calls[[#This Row],[Duration]]&lt;=120, "1 to 2 hours", TRUE, "More than 2 hours")</f>
        <v>1 to 2 hours</v>
      </c>
      <c r="O453">
        <f>ROUND(calls[[#This Row],[Satisfaction Rating]],0)</f>
        <v>3</v>
      </c>
    </row>
    <row r="454" spans="2:15" x14ac:dyDescent="0.25">
      <c r="B454" t="s">
        <v>475</v>
      </c>
      <c r="C454" t="s">
        <v>21</v>
      </c>
      <c r="D454">
        <f>VLOOKUP(C454,customers[],3,0)</f>
        <v>25</v>
      </c>
      <c r="E454" t="str">
        <f>VLOOKUP(C454,customers[],2,0)</f>
        <v>Female</v>
      </c>
      <c r="F454" t="str">
        <f>VLOOKUP(C454,customers[],4,0)</f>
        <v>Columbus</v>
      </c>
      <c r="G454">
        <v>81</v>
      </c>
      <c r="H454" s="17" t="s">
        <v>8</v>
      </c>
      <c r="I454" s="18">
        <v>45050</v>
      </c>
      <c r="J454">
        <v>92</v>
      </c>
      <c r="K454">
        <v>4.9000000000000004</v>
      </c>
      <c r="L454">
        <f>IF(MONTH(calls[[#This Row],[Date of Call]])&lt;=6, YEAR(calls[[#This Row],[Date of Call]]), YEAR(calls[[#This Row],[Date of Call]])+1)</f>
        <v>2023</v>
      </c>
      <c r="M454" t="str">
        <f>TEXT(calls[[#This Row],[Date of Call]],"DDDD")</f>
        <v>الخميس</v>
      </c>
      <c r="N454" t="str" cm="1">
        <f t="array" ref="N454">_xlfn.IFS(calls[[#This Row],[Duration]]&lt;=10,"Under 10 mins", calls[[#This Row],[Duration]]&lt;=30, "10 to 30 mins", calls[[#This Row],[Duration]]&lt;=60, "30 to 60 mins", calls[[#This Row],[Duration]]&lt;=120, "1 to 2 hours", TRUE, "More than 2 hours")</f>
        <v>1 to 2 hours</v>
      </c>
      <c r="O454">
        <f>ROUND(calls[[#This Row],[Satisfaction Rating]],0)</f>
        <v>5</v>
      </c>
    </row>
    <row r="455" spans="2:15" x14ac:dyDescent="0.25">
      <c r="B455" t="s">
        <v>476</v>
      </c>
      <c r="C455" t="s">
        <v>23</v>
      </c>
      <c r="D455">
        <f>VLOOKUP(C455,customers[],3,0)</f>
        <v>31</v>
      </c>
      <c r="E455" t="str">
        <f>VLOOKUP(C455,customers[],2,0)</f>
        <v>Male</v>
      </c>
      <c r="F455" t="str">
        <f>VLOOKUP(C455,customers[],4,0)</f>
        <v>Cleveland</v>
      </c>
      <c r="G455">
        <v>40</v>
      </c>
      <c r="H455" s="17" t="s">
        <v>12</v>
      </c>
      <c r="I455" s="18">
        <v>45052</v>
      </c>
      <c r="J455">
        <v>108</v>
      </c>
      <c r="K455">
        <v>4.2</v>
      </c>
      <c r="L455">
        <f>IF(MONTH(calls[[#This Row],[Date of Call]])&lt;=6, YEAR(calls[[#This Row],[Date of Call]]), YEAR(calls[[#This Row],[Date of Call]])+1)</f>
        <v>2023</v>
      </c>
      <c r="M455" t="str">
        <f>TEXT(calls[[#This Row],[Date of Call]],"DDDD")</f>
        <v>السبت</v>
      </c>
      <c r="N455" t="str" cm="1">
        <f t="array" ref="N455">_xlfn.IFS(calls[[#This Row],[Duration]]&lt;=10,"Under 10 mins", calls[[#This Row],[Duration]]&lt;=30, "10 to 30 mins", calls[[#This Row],[Duration]]&lt;=60, "30 to 60 mins", calls[[#This Row],[Duration]]&lt;=120, "1 to 2 hours", TRUE, "More than 2 hours")</f>
        <v>30 to 60 mins</v>
      </c>
      <c r="O455">
        <f>ROUND(calls[[#This Row],[Satisfaction Rating]],0)</f>
        <v>4</v>
      </c>
    </row>
    <row r="456" spans="2:15" x14ac:dyDescent="0.25">
      <c r="B456" t="s">
        <v>477</v>
      </c>
      <c r="C456" t="s">
        <v>4</v>
      </c>
      <c r="D456">
        <f>VLOOKUP(C456,customers[],3,0)</f>
        <v>42</v>
      </c>
      <c r="E456" t="str">
        <f>VLOOKUP(C456,customers[],2,0)</f>
        <v>Female</v>
      </c>
      <c r="F456" t="str">
        <f>VLOOKUP(C456,customers[],4,0)</f>
        <v>Cleveland</v>
      </c>
      <c r="G456">
        <v>143</v>
      </c>
      <c r="H456" s="17" t="s">
        <v>12</v>
      </c>
      <c r="I456" s="18">
        <v>45052</v>
      </c>
      <c r="J456">
        <v>54</v>
      </c>
      <c r="K456">
        <v>4.4000000000000004</v>
      </c>
      <c r="L456">
        <f>IF(MONTH(calls[[#This Row],[Date of Call]])&lt;=6, YEAR(calls[[#This Row],[Date of Call]]), YEAR(calls[[#This Row],[Date of Call]])+1)</f>
        <v>2023</v>
      </c>
      <c r="M456" t="str">
        <f>TEXT(calls[[#This Row],[Date of Call]],"DDDD")</f>
        <v>السبت</v>
      </c>
      <c r="N456" t="str" cm="1">
        <f t="array" ref="N456">_xlfn.IFS(calls[[#This Row],[Duration]]&lt;=10,"Under 10 mins", calls[[#This Row],[Duration]]&lt;=30, "10 to 30 mins", calls[[#This Row],[Duration]]&lt;=60, "30 to 60 mins", calls[[#This Row],[Duration]]&lt;=120, "1 to 2 hours", TRUE, "More than 2 hours")</f>
        <v>More than 2 hours</v>
      </c>
      <c r="O456">
        <f>ROUND(calls[[#This Row],[Satisfaction Rating]],0)</f>
        <v>4</v>
      </c>
    </row>
    <row r="457" spans="2:15" x14ac:dyDescent="0.25">
      <c r="B457" t="s">
        <v>478</v>
      </c>
      <c r="C457" t="s">
        <v>23</v>
      </c>
      <c r="D457">
        <f>VLOOKUP(C457,customers[],3,0)</f>
        <v>31</v>
      </c>
      <c r="E457" t="str">
        <f>VLOOKUP(C457,customers[],2,0)</f>
        <v>Male</v>
      </c>
      <c r="F457" t="str">
        <f>VLOOKUP(C457,customers[],4,0)</f>
        <v>Cleveland</v>
      </c>
      <c r="G457">
        <v>70</v>
      </c>
      <c r="H457" s="17" t="s">
        <v>12</v>
      </c>
      <c r="I457" s="18">
        <v>45053</v>
      </c>
      <c r="J457">
        <v>44</v>
      </c>
      <c r="K457">
        <v>3.5</v>
      </c>
      <c r="L457">
        <f>IF(MONTH(calls[[#This Row],[Date of Call]])&lt;=6, YEAR(calls[[#This Row],[Date of Call]]), YEAR(calls[[#This Row],[Date of Call]])+1)</f>
        <v>2023</v>
      </c>
      <c r="M457" t="str">
        <f>TEXT(calls[[#This Row],[Date of Call]],"DDDD")</f>
        <v>الأحد</v>
      </c>
      <c r="N457" t="str" cm="1">
        <f t="array" ref="N457">_xlfn.IFS(calls[[#This Row],[Duration]]&lt;=10,"Under 10 mins", calls[[#This Row],[Duration]]&lt;=30, "10 to 30 mins", calls[[#This Row],[Duration]]&lt;=60, "30 to 60 mins", calls[[#This Row],[Duration]]&lt;=120, "1 to 2 hours", TRUE, "More than 2 hours")</f>
        <v>1 to 2 hours</v>
      </c>
      <c r="O457">
        <f>ROUND(calls[[#This Row],[Satisfaction Rating]],0)</f>
        <v>4</v>
      </c>
    </row>
    <row r="458" spans="2:15" x14ac:dyDescent="0.25">
      <c r="B458" t="s">
        <v>479</v>
      </c>
      <c r="C458" t="s">
        <v>18</v>
      </c>
      <c r="D458">
        <f>VLOOKUP(C458,customers[],3,0)</f>
        <v>43</v>
      </c>
      <c r="E458" t="str">
        <f>VLOOKUP(C458,customers[],2,0)</f>
        <v>Female</v>
      </c>
      <c r="F458" t="str">
        <f>VLOOKUP(C458,customers[],4,0)</f>
        <v>Cleveland</v>
      </c>
      <c r="G458">
        <v>137</v>
      </c>
      <c r="H458" s="17" t="s">
        <v>12</v>
      </c>
      <c r="I458" s="18">
        <v>45053</v>
      </c>
      <c r="J458">
        <v>44</v>
      </c>
      <c r="K458">
        <v>4.7</v>
      </c>
      <c r="L458">
        <f>IF(MONTH(calls[[#This Row],[Date of Call]])&lt;=6, YEAR(calls[[#This Row],[Date of Call]]), YEAR(calls[[#This Row],[Date of Call]])+1)</f>
        <v>2023</v>
      </c>
      <c r="M458" t="str">
        <f>TEXT(calls[[#This Row],[Date of Call]],"DDDD")</f>
        <v>الأحد</v>
      </c>
      <c r="N458" t="str" cm="1">
        <f t="array" ref="N458">_xlfn.IFS(calls[[#This Row],[Duration]]&lt;=10,"Under 10 mins", calls[[#This Row],[Duration]]&lt;=30, "10 to 30 mins", calls[[#This Row],[Duration]]&lt;=60, "30 to 60 mins", calls[[#This Row],[Duration]]&lt;=120, "1 to 2 hours", TRUE, "More than 2 hours")</f>
        <v>More than 2 hours</v>
      </c>
      <c r="O458">
        <f>ROUND(calls[[#This Row],[Satisfaction Rating]],0)</f>
        <v>5</v>
      </c>
    </row>
    <row r="459" spans="2:15" x14ac:dyDescent="0.25">
      <c r="B459" t="s">
        <v>480</v>
      </c>
      <c r="C459" t="s">
        <v>19</v>
      </c>
      <c r="D459">
        <f>VLOOKUP(C459,customers[],3,0)</f>
        <v>26</v>
      </c>
      <c r="E459" t="str">
        <f>VLOOKUP(C459,customers[],2,0)</f>
        <v>Male</v>
      </c>
      <c r="F459" t="str">
        <f>VLOOKUP(C459,customers[],4,0)</f>
        <v>Cincinnati</v>
      </c>
      <c r="G459">
        <v>52</v>
      </c>
      <c r="H459" s="17" t="s">
        <v>8</v>
      </c>
      <c r="I459" s="18">
        <v>45054</v>
      </c>
      <c r="J459">
        <v>37</v>
      </c>
      <c r="K459">
        <v>4.9000000000000004</v>
      </c>
      <c r="L459">
        <f>IF(MONTH(calls[[#This Row],[Date of Call]])&lt;=6, YEAR(calls[[#This Row],[Date of Call]]), YEAR(calls[[#This Row],[Date of Call]])+1)</f>
        <v>2023</v>
      </c>
      <c r="M459" t="str">
        <f>TEXT(calls[[#This Row],[Date of Call]],"DDDD")</f>
        <v>الإثنين</v>
      </c>
      <c r="N459" t="str" cm="1">
        <f t="array" ref="N459">_xlfn.IFS(calls[[#This Row],[Duration]]&lt;=10,"Under 10 mins", calls[[#This Row],[Duration]]&lt;=30, "10 to 30 mins", calls[[#This Row],[Duration]]&lt;=60, "30 to 60 mins", calls[[#This Row],[Duration]]&lt;=120, "1 to 2 hours", TRUE, "More than 2 hours")</f>
        <v>30 to 60 mins</v>
      </c>
      <c r="O459">
        <f>ROUND(calls[[#This Row],[Satisfaction Rating]],0)</f>
        <v>5</v>
      </c>
    </row>
    <row r="460" spans="2:15" x14ac:dyDescent="0.25">
      <c r="B460" t="s">
        <v>481</v>
      </c>
      <c r="C460" t="s">
        <v>11</v>
      </c>
      <c r="D460">
        <f>VLOOKUP(C460,customers[],3,0)</f>
        <v>36</v>
      </c>
      <c r="E460" t="str">
        <f>VLOOKUP(C460,customers[],2,0)</f>
        <v>Male</v>
      </c>
      <c r="F460" t="str">
        <f>VLOOKUP(C460,customers[],4,0)</f>
        <v>Cincinnati</v>
      </c>
      <c r="G460">
        <v>31</v>
      </c>
      <c r="H460" s="17" t="s">
        <v>10</v>
      </c>
      <c r="I460" s="18">
        <v>45054</v>
      </c>
      <c r="J460">
        <v>180</v>
      </c>
      <c r="K460">
        <v>4.5</v>
      </c>
      <c r="L460">
        <f>IF(MONTH(calls[[#This Row],[Date of Call]])&lt;=6, YEAR(calls[[#This Row],[Date of Call]]), YEAR(calls[[#This Row],[Date of Call]])+1)</f>
        <v>2023</v>
      </c>
      <c r="M460" t="str">
        <f>TEXT(calls[[#This Row],[Date of Call]],"DDDD")</f>
        <v>الإثنين</v>
      </c>
      <c r="N460" t="str" cm="1">
        <f t="array" ref="N460">_xlfn.IFS(calls[[#This Row],[Duration]]&lt;=10,"Under 10 mins", calls[[#This Row],[Duration]]&lt;=30, "10 to 30 mins", calls[[#This Row],[Duration]]&lt;=60, "30 to 60 mins", calls[[#This Row],[Duration]]&lt;=120, "1 to 2 hours", TRUE, "More than 2 hours")</f>
        <v>30 to 60 mins</v>
      </c>
      <c r="O460">
        <f>ROUND(calls[[#This Row],[Satisfaction Rating]],0)</f>
        <v>5</v>
      </c>
    </row>
    <row r="461" spans="2:15" x14ac:dyDescent="0.25">
      <c r="B461" t="s">
        <v>482</v>
      </c>
      <c r="C461" t="s">
        <v>19</v>
      </c>
      <c r="D461">
        <f>VLOOKUP(C461,customers[],3,0)</f>
        <v>26</v>
      </c>
      <c r="E461" t="str">
        <f>VLOOKUP(C461,customers[],2,0)</f>
        <v>Male</v>
      </c>
      <c r="F461" t="str">
        <f>VLOOKUP(C461,customers[],4,0)</f>
        <v>Cincinnati</v>
      </c>
      <c r="G461">
        <v>114</v>
      </c>
      <c r="H461" s="17" t="s">
        <v>5</v>
      </c>
      <c r="I461" s="18">
        <v>45054</v>
      </c>
      <c r="J461">
        <v>105</v>
      </c>
      <c r="K461">
        <v>4.9000000000000004</v>
      </c>
      <c r="L461">
        <f>IF(MONTH(calls[[#This Row],[Date of Call]])&lt;=6, YEAR(calls[[#This Row],[Date of Call]]), YEAR(calls[[#This Row],[Date of Call]])+1)</f>
        <v>2023</v>
      </c>
      <c r="M461" t="str">
        <f>TEXT(calls[[#This Row],[Date of Call]],"DDDD")</f>
        <v>الإثنين</v>
      </c>
      <c r="N461" t="str" cm="1">
        <f t="array" ref="N461">_xlfn.IFS(calls[[#This Row],[Duration]]&lt;=10,"Under 10 mins", calls[[#This Row],[Duration]]&lt;=30, "10 to 30 mins", calls[[#This Row],[Duration]]&lt;=60, "30 to 60 mins", calls[[#This Row],[Duration]]&lt;=120, "1 to 2 hours", TRUE, "More than 2 hours")</f>
        <v>1 to 2 hours</v>
      </c>
      <c r="O461">
        <f>ROUND(calls[[#This Row],[Satisfaction Rating]],0)</f>
        <v>5</v>
      </c>
    </row>
    <row r="462" spans="2:15" x14ac:dyDescent="0.25">
      <c r="B462" t="s">
        <v>483</v>
      </c>
      <c r="C462" t="s">
        <v>18</v>
      </c>
      <c r="D462">
        <f>VLOOKUP(C462,customers[],3,0)</f>
        <v>43</v>
      </c>
      <c r="E462" t="str">
        <f>VLOOKUP(C462,customers[],2,0)</f>
        <v>Female</v>
      </c>
      <c r="F462" t="str">
        <f>VLOOKUP(C462,customers[],4,0)</f>
        <v>Cleveland</v>
      </c>
      <c r="G462">
        <v>73</v>
      </c>
      <c r="H462" s="17" t="s">
        <v>9</v>
      </c>
      <c r="I462" s="18">
        <v>45054</v>
      </c>
      <c r="J462">
        <v>87</v>
      </c>
      <c r="K462">
        <v>3.6</v>
      </c>
      <c r="L462">
        <f>IF(MONTH(calls[[#This Row],[Date of Call]])&lt;=6, YEAR(calls[[#This Row],[Date of Call]]), YEAR(calls[[#This Row],[Date of Call]])+1)</f>
        <v>2023</v>
      </c>
      <c r="M462" t="str">
        <f>TEXT(calls[[#This Row],[Date of Call]],"DDDD")</f>
        <v>الإثنين</v>
      </c>
      <c r="N462" t="str" cm="1">
        <f t="array" ref="N462">_xlfn.IFS(calls[[#This Row],[Duration]]&lt;=10,"Under 10 mins", calls[[#This Row],[Duration]]&lt;=30, "10 to 30 mins", calls[[#This Row],[Duration]]&lt;=60, "30 to 60 mins", calls[[#This Row],[Duration]]&lt;=120, "1 to 2 hours", TRUE, "More than 2 hours")</f>
        <v>1 to 2 hours</v>
      </c>
      <c r="O462">
        <f>ROUND(calls[[#This Row],[Satisfaction Rating]],0)</f>
        <v>4</v>
      </c>
    </row>
    <row r="463" spans="2:15" x14ac:dyDescent="0.25">
      <c r="B463" t="s">
        <v>484</v>
      </c>
      <c r="C463" t="s">
        <v>21</v>
      </c>
      <c r="D463">
        <f>VLOOKUP(C463,customers[],3,0)</f>
        <v>25</v>
      </c>
      <c r="E463" t="str">
        <f>VLOOKUP(C463,customers[],2,0)</f>
        <v>Female</v>
      </c>
      <c r="F463" t="str">
        <f>VLOOKUP(C463,customers[],4,0)</f>
        <v>Columbus</v>
      </c>
      <c r="G463">
        <v>25</v>
      </c>
      <c r="H463" s="17" t="s">
        <v>10</v>
      </c>
      <c r="I463" s="18">
        <v>45054</v>
      </c>
      <c r="J463">
        <v>52</v>
      </c>
      <c r="K463">
        <v>3.8</v>
      </c>
      <c r="L463">
        <f>IF(MONTH(calls[[#This Row],[Date of Call]])&lt;=6, YEAR(calls[[#This Row],[Date of Call]]), YEAR(calls[[#This Row],[Date of Call]])+1)</f>
        <v>2023</v>
      </c>
      <c r="M463" t="str">
        <f>TEXT(calls[[#This Row],[Date of Call]],"DDDD")</f>
        <v>الإثنين</v>
      </c>
      <c r="N463" t="str" cm="1">
        <f t="array" ref="N463">_xlfn.IFS(calls[[#This Row],[Duration]]&lt;=10,"Under 10 mins", calls[[#This Row],[Duration]]&lt;=30, "10 to 30 mins", calls[[#This Row],[Duration]]&lt;=60, "30 to 60 mins", calls[[#This Row],[Duration]]&lt;=120, "1 to 2 hours", TRUE, "More than 2 hours")</f>
        <v>10 to 30 mins</v>
      </c>
      <c r="O463">
        <f>ROUND(calls[[#This Row],[Satisfaction Rating]],0)</f>
        <v>4</v>
      </c>
    </row>
    <row r="464" spans="2:15" x14ac:dyDescent="0.25">
      <c r="B464" t="s">
        <v>485</v>
      </c>
      <c r="C464" t="s">
        <v>7</v>
      </c>
      <c r="D464">
        <f>VLOOKUP(C464,customers[],3,0)</f>
        <v>30</v>
      </c>
      <c r="E464" t="str">
        <f>VLOOKUP(C464,customers[],2,0)</f>
        <v>Female</v>
      </c>
      <c r="F464" t="str">
        <f>VLOOKUP(C464,customers[],4,0)</f>
        <v>Cincinnati</v>
      </c>
      <c r="G464">
        <v>44</v>
      </c>
      <c r="H464" s="17" t="s">
        <v>5</v>
      </c>
      <c r="I464" s="18">
        <v>45054</v>
      </c>
      <c r="J464">
        <v>63</v>
      </c>
      <c r="K464">
        <v>3.5</v>
      </c>
      <c r="L464">
        <f>IF(MONTH(calls[[#This Row],[Date of Call]])&lt;=6, YEAR(calls[[#This Row],[Date of Call]]), YEAR(calls[[#This Row],[Date of Call]])+1)</f>
        <v>2023</v>
      </c>
      <c r="M464" t="str">
        <f>TEXT(calls[[#This Row],[Date of Call]],"DDDD")</f>
        <v>الإثنين</v>
      </c>
      <c r="N464" t="str" cm="1">
        <f t="array" ref="N464">_xlfn.IFS(calls[[#This Row],[Duration]]&lt;=10,"Under 10 mins", calls[[#This Row],[Duration]]&lt;=30, "10 to 30 mins", calls[[#This Row],[Duration]]&lt;=60, "30 to 60 mins", calls[[#This Row],[Duration]]&lt;=120, "1 to 2 hours", TRUE, "More than 2 hours")</f>
        <v>30 to 60 mins</v>
      </c>
      <c r="O464">
        <f>ROUND(calls[[#This Row],[Satisfaction Rating]],0)</f>
        <v>4</v>
      </c>
    </row>
    <row r="465" spans="2:15" x14ac:dyDescent="0.25">
      <c r="B465" t="s">
        <v>486</v>
      </c>
      <c r="C465" t="s">
        <v>6</v>
      </c>
      <c r="D465">
        <f>VLOOKUP(C465,customers[],3,0)</f>
        <v>23</v>
      </c>
      <c r="E465" t="str">
        <f>VLOOKUP(C465,customers[],2,0)</f>
        <v>Male</v>
      </c>
      <c r="F465" t="str">
        <f>VLOOKUP(C465,customers[],4,0)</f>
        <v>Columbus</v>
      </c>
      <c r="G465">
        <v>34</v>
      </c>
      <c r="H465" s="17" t="s">
        <v>8</v>
      </c>
      <c r="I465" s="18">
        <v>45055</v>
      </c>
      <c r="J465">
        <v>195</v>
      </c>
      <c r="K465">
        <v>4.8</v>
      </c>
      <c r="L465">
        <f>IF(MONTH(calls[[#This Row],[Date of Call]])&lt;=6, YEAR(calls[[#This Row],[Date of Call]]), YEAR(calls[[#This Row],[Date of Call]])+1)</f>
        <v>2023</v>
      </c>
      <c r="M465" t="str">
        <f>TEXT(calls[[#This Row],[Date of Call]],"DDDD")</f>
        <v>الثلاثاء</v>
      </c>
      <c r="N465" t="str" cm="1">
        <f t="array" ref="N465">_xlfn.IFS(calls[[#This Row],[Duration]]&lt;=10,"Under 10 mins", calls[[#This Row],[Duration]]&lt;=30, "10 to 30 mins", calls[[#This Row],[Duration]]&lt;=60, "30 to 60 mins", calls[[#This Row],[Duration]]&lt;=120, "1 to 2 hours", TRUE, "More than 2 hours")</f>
        <v>30 to 60 mins</v>
      </c>
      <c r="O465">
        <f>ROUND(calls[[#This Row],[Satisfaction Rating]],0)</f>
        <v>5</v>
      </c>
    </row>
    <row r="466" spans="2:15" x14ac:dyDescent="0.25">
      <c r="B466" t="s">
        <v>487</v>
      </c>
      <c r="C466" t="s">
        <v>4</v>
      </c>
      <c r="D466">
        <f>VLOOKUP(C466,customers[],3,0)</f>
        <v>42</v>
      </c>
      <c r="E466" t="str">
        <f>VLOOKUP(C466,customers[],2,0)</f>
        <v>Female</v>
      </c>
      <c r="F466" t="str">
        <f>VLOOKUP(C466,customers[],4,0)</f>
        <v>Cleveland</v>
      </c>
      <c r="G466">
        <v>89</v>
      </c>
      <c r="H466" s="17" t="s">
        <v>12</v>
      </c>
      <c r="I466" s="18">
        <v>45056</v>
      </c>
      <c r="J466">
        <v>176</v>
      </c>
      <c r="K466">
        <v>4.5</v>
      </c>
      <c r="L466">
        <f>IF(MONTH(calls[[#This Row],[Date of Call]])&lt;=6, YEAR(calls[[#This Row],[Date of Call]]), YEAR(calls[[#This Row],[Date of Call]])+1)</f>
        <v>2023</v>
      </c>
      <c r="M466" t="str">
        <f>TEXT(calls[[#This Row],[Date of Call]],"DDDD")</f>
        <v>الأربعاء</v>
      </c>
      <c r="N466" t="str" cm="1">
        <f t="array" ref="N466">_xlfn.IFS(calls[[#This Row],[Duration]]&lt;=10,"Under 10 mins", calls[[#This Row],[Duration]]&lt;=30, "10 to 30 mins", calls[[#This Row],[Duration]]&lt;=60, "30 to 60 mins", calls[[#This Row],[Duration]]&lt;=120, "1 to 2 hours", TRUE, "More than 2 hours")</f>
        <v>1 to 2 hours</v>
      </c>
      <c r="O466">
        <f>ROUND(calls[[#This Row],[Satisfaction Rating]],0)</f>
        <v>5</v>
      </c>
    </row>
    <row r="467" spans="2:15" x14ac:dyDescent="0.25">
      <c r="B467" t="s">
        <v>488</v>
      </c>
      <c r="C467" t="s">
        <v>17</v>
      </c>
      <c r="D467">
        <f>VLOOKUP(C467,customers[],3,0)</f>
        <v>30</v>
      </c>
      <c r="E467" t="str">
        <f>VLOOKUP(C467,customers[],2,0)</f>
        <v>Female</v>
      </c>
      <c r="F467" t="str">
        <f>VLOOKUP(C467,customers[],4,0)</f>
        <v>Cleveland</v>
      </c>
      <c r="G467">
        <v>54</v>
      </c>
      <c r="H467" s="17" t="s">
        <v>10</v>
      </c>
      <c r="I467" s="18">
        <v>45057</v>
      </c>
      <c r="J467">
        <v>31</v>
      </c>
      <c r="K467">
        <v>3.3</v>
      </c>
      <c r="L467">
        <f>IF(MONTH(calls[[#This Row],[Date of Call]])&lt;=6, YEAR(calls[[#This Row],[Date of Call]]), YEAR(calls[[#This Row],[Date of Call]])+1)</f>
        <v>2023</v>
      </c>
      <c r="M467" t="str">
        <f>TEXT(calls[[#This Row],[Date of Call]],"DDDD")</f>
        <v>الخميس</v>
      </c>
      <c r="N467" t="str" cm="1">
        <f t="array" ref="N467">_xlfn.IFS(calls[[#This Row],[Duration]]&lt;=10,"Under 10 mins", calls[[#This Row],[Duration]]&lt;=30, "10 to 30 mins", calls[[#This Row],[Duration]]&lt;=60, "30 to 60 mins", calls[[#This Row],[Duration]]&lt;=120, "1 to 2 hours", TRUE, "More than 2 hours")</f>
        <v>30 to 60 mins</v>
      </c>
      <c r="O467">
        <f>ROUND(calls[[#This Row],[Satisfaction Rating]],0)</f>
        <v>3</v>
      </c>
    </row>
    <row r="468" spans="2:15" x14ac:dyDescent="0.25">
      <c r="B468" t="s">
        <v>489</v>
      </c>
      <c r="C468" t="s">
        <v>22</v>
      </c>
      <c r="D468">
        <f>VLOOKUP(C468,customers[],3,0)</f>
        <v>37</v>
      </c>
      <c r="E468" t="str">
        <f>VLOOKUP(C468,customers[],2,0)</f>
        <v>Male</v>
      </c>
      <c r="F468" t="str">
        <f>VLOOKUP(C468,customers[],4,0)</f>
        <v>Columbus</v>
      </c>
      <c r="G468">
        <v>25</v>
      </c>
      <c r="H468" s="17" t="s">
        <v>10</v>
      </c>
      <c r="I468" s="18">
        <v>45058</v>
      </c>
      <c r="J468">
        <v>27</v>
      </c>
      <c r="K468">
        <v>3.2</v>
      </c>
      <c r="L468">
        <f>IF(MONTH(calls[[#This Row],[Date of Call]])&lt;=6, YEAR(calls[[#This Row],[Date of Call]]), YEAR(calls[[#This Row],[Date of Call]])+1)</f>
        <v>2023</v>
      </c>
      <c r="M468" t="str">
        <f>TEXT(calls[[#This Row],[Date of Call]],"DDDD")</f>
        <v>الجمعة</v>
      </c>
      <c r="N468" t="str" cm="1">
        <f t="array" ref="N468">_xlfn.IFS(calls[[#This Row],[Duration]]&lt;=10,"Under 10 mins", calls[[#This Row],[Duration]]&lt;=30, "10 to 30 mins", calls[[#This Row],[Duration]]&lt;=60, "30 to 60 mins", calls[[#This Row],[Duration]]&lt;=120, "1 to 2 hours", TRUE, "More than 2 hours")</f>
        <v>10 to 30 mins</v>
      </c>
      <c r="O468">
        <f>ROUND(calls[[#This Row],[Satisfaction Rating]],0)</f>
        <v>3</v>
      </c>
    </row>
    <row r="469" spans="2:15" x14ac:dyDescent="0.25">
      <c r="B469" t="s">
        <v>490</v>
      </c>
      <c r="C469" t="s">
        <v>13</v>
      </c>
      <c r="D469">
        <f>VLOOKUP(C469,customers[],3,0)</f>
        <v>37</v>
      </c>
      <c r="E469" t="str">
        <f>VLOOKUP(C469,customers[],2,0)</f>
        <v>Female</v>
      </c>
      <c r="F469" t="str">
        <f>VLOOKUP(C469,customers[],4,0)</f>
        <v>Cleveland</v>
      </c>
      <c r="G469">
        <v>91</v>
      </c>
      <c r="H469" s="17" t="s">
        <v>12</v>
      </c>
      <c r="I469" s="18">
        <v>45058</v>
      </c>
      <c r="J469">
        <v>76</v>
      </c>
      <c r="K469">
        <v>4.9000000000000004</v>
      </c>
      <c r="L469">
        <f>IF(MONTH(calls[[#This Row],[Date of Call]])&lt;=6, YEAR(calls[[#This Row],[Date of Call]]), YEAR(calls[[#This Row],[Date of Call]])+1)</f>
        <v>2023</v>
      </c>
      <c r="M469" t="str">
        <f>TEXT(calls[[#This Row],[Date of Call]],"DDDD")</f>
        <v>الجمعة</v>
      </c>
      <c r="N469" t="str" cm="1">
        <f t="array" ref="N469">_xlfn.IFS(calls[[#This Row],[Duration]]&lt;=10,"Under 10 mins", calls[[#This Row],[Duration]]&lt;=30, "10 to 30 mins", calls[[#This Row],[Duration]]&lt;=60, "30 to 60 mins", calls[[#This Row],[Duration]]&lt;=120, "1 to 2 hours", TRUE, "More than 2 hours")</f>
        <v>1 to 2 hours</v>
      </c>
      <c r="O469">
        <f>ROUND(calls[[#This Row],[Satisfaction Rating]],0)</f>
        <v>5</v>
      </c>
    </row>
    <row r="470" spans="2:15" x14ac:dyDescent="0.25">
      <c r="B470" t="s">
        <v>491</v>
      </c>
      <c r="C470" t="s">
        <v>7</v>
      </c>
      <c r="D470">
        <f>VLOOKUP(C470,customers[],3,0)</f>
        <v>30</v>
      </c>
      <c r="E470" t="str">
        <f>VLOOKUP(C470,customers[],2,0)</f>
        <v>Female</v>
      </c>
      <c r="F470" t="str">
        <f>VLOOKUP(C470,customers[],4,0)</f>
        <v>Cincinnati</v>
      </c>
      <c r="G470">
        <v>144</v>
      </c>
      <c r="H470" s="17" t="s">
        <v>5</v>
      </c>
      <c r="I470" s="18">
        <v>45058</v>
      </c>
      <c r="J470">
        <v>62</v>
      </c>
      <c r="K470">
        <v>4.8</v>
      </c>
      <c r="L470">
        <f>IF(MONTH(calls[[#This Row],[Date of Call]])&lt;=6, YEAR(calls[[#This Row],[Date of Call]]), YEAR(calls[[#This Row],[Date of Call]])+1)</f>
        <v>2023</v>
      </c>
      <c r="M470" t="str">
        <f>TEXT(calls[[#This Row],[Date of Call]],"DDDD")</f>
        <v>الجمعة</v>
      </c>
      <c r="N470" t="str" cm="1">
        <f t="array" ref="N470">_xlfn.IFS(calls[[#This Row],[Duration]]&lt;=10,"Under 10 mins", calls[[#This Row],[Duration]]&lt;=30, "10 to 30 mins", calls[[#This Row],[Duration]]&lt;=60, "30 to 60 mins", calls[[#This Row],[Duration]]&lt;=120, "1 to 2 hours", TRUE, "More than 2 hours")</f>
        <v>More than 2 hours</v>
      </c>
      <c r="O470">
        <f>ROUND(calls[[#This Row],[Satisfaction Rating]],0)</f>
        <v>5</v>
      </c>
    </row>
    <row r="471" spans="2:15" x14ac:dyDescent="0.25">
      <c r="B471" t="s">
        <v>492</v>
      </c>
      <c r="C471" t="s">
        <v>13</v>
      </c>
      <c r="D471">
        <f>VLOOKUP(C471,customers[],3,0)</f>
        <v>37</v>
      </c>
      <c r="E471" t="str">
        <f>VLOOKUP(C471,customers[],2,0)</f>
        <v>Female</v>
      </c>
      <c r="F471" t="str">
        <f>VLOOKUP(C471,customers[],4,0)</f>
        <v>Cleveland</v>
      </c>
      <c r="G471">
        <v>81</v>
      </c>
      <c r="H471" s="17" t="s">
        <v>8</v>
      </c>
      <c r="I471" s="18">
        <v>45060</v>
      </c>
      <c r="J471">
        <v>100</v>
      </c>
      <c r="K471">
        <v>1.3</v>
      </c>
      <c r="L471">
        <f>IF(MONTH(calls[[#This Row],[Date of Call]])&lt;=6, YEAR(calls[[#This Row],[Date of Call]]), YEAR(calls[[#This Row],[Date of Call]])+1)</f>
        <v>2023</v>
      </c>
      <c r="M471" t="str">
        <f>TEXT(calls[[#This Row],[Date of Call]],"DDDD")</f>
        <v>الأحد</v>
      </c>
      <c r="N471" t="str" cm="1">
        <f t="array" ref="N471">_xlfn.IFS(calls[[#This Row],[Duration]]&lt;=10,"Under 10 mins", calls[[#This Row],[Duration]]&lt;=30, "10 to 30 mins", calls[[#This Row],[Duration]]&lt;=60, "30 to 60 mins", calls[[#This Row],[Duration]]&lt;=120, "1 to 2 hours", TRUE, "More than 2 hours")</f>
        <v>1 to 2 hours</v>
      </c>
      <c r="O471">
        <f>ROUND(calls[[#This Row],[Satisfaction Rating]],0)</f>
        <v>1</v>
      </c>
    </row>
    <row r="472" spans="2:15" x14ac:dyDescent="0.25">
      <c r="B472" t="s">
        <v>493</v>
      </c>
      <c r="C472" t="s">
        <v>16</v>
      </c>
      <c r="D472">
        <f>VLOOKUP(C472,customers[],3,0)</f>
        <v>41</v>
      </c>
      <c r="E472" t="str">
        <f>VLOOKUP(C472,customers[],2,0)</f>
        <v>Male</v>
      </c>
      <c r="F472" t="str">
        <f>VLOOKUP(C472,customers[],4,0)</f>
        <v>Columbus</v>
      </c>
      <c r="G472">
        <v>92</v>
      </c>
      <c r="H472" s="17" t="s">
        <v>10</v>
      </c>
      <c r="I472" s="18">
        <v>45060</v>
      </c>
      <c r="J472">
        <v>44</v>
      </c>
      <c r="K472">
        <v>3.1</v>
      </c>
      <c r="L472">
        <f>IF(MONTH(calls[[#This Row],[Date of Call]])&lt;=6, YEAR(calls[[#This Row],[Date of Call]]), YEAR(calls[[#This Row],[Date of Call]])+1)</f>
        <v>2023</v>
      </c>
      <c r="M472" t="str">
        <f>TEXT(calls[[#This Row],[Date of Call]],"DDDD")</f>
        <v>الأحد</v>
      </c>
      <c r="N472" t="str" cm="1">
        <f t="array" ref="N472">_xlfn.IFS(calls[[#This Row],[Duration]]&lt;=10,"Under 10 mins", calls[[#This Row],[Duration]]&lt;=30, "10 to 30 mins", calls[[#This Row],[Duration]]&lt;=60, "30 to 60 mins", calls[[#This Row],[Duration]]&lt;=120, "1 to 2 hours", TRUE, "More than 2 hours")</f>
        <v>1 to 2 hours</v>
      </c>
      <c r="O472">
        <f>ROUND(calls[[#This Row],[Satisfaction Rating]],0)</f>
        <v>3</v>
      </c>
    </row>
    <row r="473" spans="2:15" x14ac:dyDescent="0.25">
      <c r="B473" t="s">
        <v>494</v>
      </c>
      <c r="C473" t="s">
        <v>22</v>
      </c>
      <c r="D473">
        <f>VLOOKUP(C473,customers[],3,0)</f>
        <v>37</v>
      </c>
      <c r="E473" t="str">
        <f>VLOOKUP(C473,customers[],2,0)</f>
        <v>Male</v>
      </c>
      <c r="F473" t="str">
        <f>VLOOKUP(C473,customers[],4,0)</f>
        <v>Columbus</v>
      </c>
      <c r="G473">
        <v>115</v>
      </c>
      <c r="H473" s="17" t="s">
        <v>12</v>
      </c>
      <c r="I473" s="18">
        <v>45060</v>
      </c>
      <c r="J473">
        <v>168</v>
      </c>
      <c r="K473">
        <v>3.4</v>
      </c>
      <c r="L473">
        <f>IF(MONTH(calls[[#This Row],[Date of Call]])&lt;=6, YEAR(calls[[#This Row],[Date of Call]]), YEAR(calls[[#This Row],[Date of Call]])+1)</f>
        <v>2023</v>
      </c>
      <c r="M473" t="str">
        <f>TEXT(calls[[#This Row],[Date of Call]],"DDDD")</f>
        <v>الأحد</v>
      </c>
      <c r="N473" t="str" cm="1">
        <f t="array" ref="N473">_xlfn.IFS(calls[[#This Row],[Duration]]&lt;=10,"Under 10 mins", calls[[#This Row],[Duration]]&lt;=30, "10 to 30 mins", calls[[#This Row],[Duration]]&lt;=60, "30 to 60 mins", calls[[#This Row],[Duration]]&lt;=120, "1 to 2 hours", TRUE, "More than 2 hours")</f>
        <v>1 to 2 hours</v>
      </c>
      <c r="O473">
        <f>ROUND(calls[[#This Row],[Satisfaction Rating]],0)</f>
        <v>3</v>
      </c>
    </row>
    <row r="474" spans="2:15" x14ac:dyDescent="0.25">
      <c r="B474" t="s">
        <v>495</v>
      </c>
      <c r="C474" t="s">
        <v>14</v>
      </c>
      <c r="D474">
        <f>VLOOKUP(C474,customers[],3,0)</f>
        <v>22</v>
      </c>
      <c r="E474" t="str">
        <f>VLOOKUP(C474,customers[],2,0)</f>
        <v>Female</v>
      </c>
      <c r="F474" t="str">
        <f>VLOOKUP(C474,customers[],4,0)</f>
        <v>Cleveland</v>
      </c>
      <c r="G474">
        <v>56</v>
      </c>
      <c r="H474" s="17" t="s">
        <v>12</v>
      </c>
      <c r="I474" s="18">
        <v>45061</v>
      </c>
      <c r="J474">
        <v>200</v>
      </c>
      <c r="K474">
        <v>4.5999999999999996</v>
      </c>
      <c r="L474">
        <f>IF(MONTH(calls[[#This Row],[Date of Call]])&lt;=6, YEAR(calls[[#This Row],[Date of Call]]), YEAR(calls[[#This Row],[Date of Call]])+1)</f>
        <v>2023</v>
      </c>
      <c r="M474" t="str">
        <f>TEXT(calls[[#This Row],[Date of Call]],"DDDD")</f>
        <v>الإثنين</v>
      </c>
      <c r="N474" t="str" cm="1">
        <f t="array" ref="N474">_xlfn.IFS(calls[[#This Row],[Duration]]&lt;=10,"Under 10 mins", calls[[#This Row],[Duration]]&lt;=30, "10 to 30 mins", calls[[#This Row],[Duration]]&lt;=60, "30 to 60 mins", calls[[#This Row],[Duration]]&lt;=120, "1 to 2 hours", TRUE, "More than 2 hours")</f>
        <v>30 to 60 mins</v>
      </c>
      <c r="O474">
        <f>ROUND(calls[[#This Row],[Satisfaction Rating]],0)</f>
        <v>5</v>
      </c>
    </row>
    <row r="475" spans="2:15" x14ac:dyDescent="0.25">
      <c r="B475" t="s">
        <v>496</v>
      </c>
      <c r="C475" t="s">
        <v>11</v>
      </c>
      <c r="D475">
        <f>VLOOKUP(C475,customers[],3,0)</f>
        <v>36</v>
      </c>
      <c r="E475" t="str">
        <f>VLOOKUP(C475,customers[],2,0)</f>
        <v>Male</v>
      </c>
      <c r="F475" t="str">
        <f>VLOOKUP(C475,customers[],4,0)</f>
        <v>Cincinnati</v>
      </c>
      <c r="G475">
        <v>154</v>
      </c>
      <c r="H475" s="17" t="s">
        <v>10</v>
      </c>
      <c r="I475" s="18">
        <v>45061</v>
      </c>
      <c r="J475">
        <v>84</v>
      </c>
      <c r="K475">
        <v>4.3</v>
      </c>
      <c r="L475">
        <f>IF(MONTH(calls[[#This Row],[Date of Call]])&lt;=6, YEAR(calls[[#This Row],[Date of Call]]), YEAR(calls[[#This Row],[Date of Call]])+1)</f>
        <v>2023</v>
      </c>
      <c r="M475" t="str">
        <f>TEXT(calls[[#This Row],[Date of Call]],"DDDD")</f>
        <v>الإثنين</v>
      </c>
      <c r="N475" t="str" cm="1">
        <f t="array" ref="N475">_xlfn.IFS(calls[[#This Row],[Duration]]&lt;=10,"Under 10 mins", calls[[#This Row],[Duration]]&lt;=30, "10 to 30 mins", calls[[#This Row],[Duration]]&lt;=60, "30 to 60 mins", calls[[#This Row],[Duration]]&lt;=120, "1 to 2 hours", TRUE, "More than 2 hours")</f>
        <v>More than 2 hours</v>
      </c>
      <c r="O475">
        <f>ROUND(calls[[#This Row],[Satisfaction Rating]],0)</f>
        <v>4</v>
      </c>
    </row>
    <row r="476" spans="2:15" x14ac:dyDescent="0.25">
      <c r="B476" t="s">
        <v>497</v>
      </c>
      <c r="C476" t="s">
        <v>4</v>
      </c>
      <c r="D476">
        <f>VLOOKUP(C476,customers[],3,0)</f>
        <v>42</v>
      </c>
      <c r="E476" t="str">
        <f>VLOOKUP(C476,customers[],2,0)</f>
        <v>Female</v>
      </c>
      <c r="F476" t="str">
        <f>VLOOKUP(C476,customers[],4,0)</f>
        <v>Cleveland</v>
      </c>
      <c r="G476">
        <v>51</v>
      </c>
      <c r="H476" s="17" t="s">
        <v>12</v>
      </c>
      <c r="I476" s="18">
        <v>45062</v>
      </c>
      <c r="J476">
        <v>117</v>
      </c>
      <c r="K476">
        <v>2.7</v>
      </c>
      <c r="L476">
        <f>IF(MONTH(calls[[#This Row],[Date of Call]])&lt;=6, YEAR(calls[[#This Row],[Date of Call]]), YEAR(calls[[#This Row],[Date of Call]])+1)</f>
        <v>2023</v>
      </c>
      <c r="M476" t="str">
        <f>TEXT(calls[[#This Row],[Date of Call]],"DDDD")</f>
        <v>الثلاثاء</v>
      </c>
      <c r="N476" t="str" cm="1">
        <f t="array" ref="N476">_xlfn.IFS(calls[[#This Row],[Duration]]&lt;=10,"Under 10 mins", calls[[#This Row],[Duration]]&lt;=30, "10 to 30 mins", calls[[#This Row],[Duration]]&lt;=60, "30 to 60 mins", calls[[#This Row],[Duration]]&lt;=120, "1 to 2 hours", TRUE, "More than 2 hours")</f>
        <v>30 to 60 mins</v>
      </c>
      <c r="O476">
        <f>ROUND(calls[[#This Row],[Satisfaction Rating]],0)</f>
        <v>3</v>
      </c>
    </row>
    <row r="477" spans="2:15" x14ac:dyDescent="0.25">
      <c r="B477" t="s">
        <v>498</v>
      </c>
      <c r="C477" t="s">
        <v>6</v>
      </c>
      <c r="D477">
        <f>VLOOKUP(C477,customers[],3,0)</f>
        <v>23</v>
      </c>
      <c r="E477" t="str">
        <f>VLOOKUP(C477,customers[],2,0)</f>
        <v>Male</v>
      </c>
      <c r="F477" t="str">
        <f>VLOOKUP(C477,customers[],4,0)</f>
        <v>Columbus</v>
      </c>
      <c r="G477">
        <v>21</v>
      </c>
      <c r="H477" s="17" t="s">
        <v>8</v>
      </c>
      <c r="I477" s="18">
        <v>45062</v>
      </c>
      <c r="J477">
        <v>63</v>
      </c>
      <c r="K477">
        <v>4.2</v>
      </c>
      <c r="L477">
        <f>IF(MONTH(calls[[#This Row],[Date of Call]])&lt;=6, YEAR(calls[[#This Row],[Date of Call]]), YEAR(calls[[#This Row],[Date of Call]])+1)</f>
        <v>2023</v>
      </c>
      <c r="M477" t="str">
        <f>TEXT(calls[[#This Row],[Date of Call]],"DDDD")</f>
        <v>الثلاثاء</v>
      </c>
      <c r="N477" t="str" cm="1">
        <f t="array" ref="N477">_xlfn.IFS(calls[[#This Row],[Duration]]&lt;=10,"Under 10 mins", calls[[#This Row],[Duration]]&lt;=30, "10 to 30 mins", calls[[#This Row],[Duration]]&lt;=60, "30 to 60 mins", calls[[#This Row],[Duration]]&lt;=120, "1 to 2 hours", TRUE, "More than 2 hours")</f>
        <v>10 to 30 mins</v>
      </c>
      <c r="O477">
        <f>ROUND(calls[[#This Row],[Satisfaction Rating]],0)</f>
        <v>4</v>
      </c>
    </row>
    <row r="478" spans="2:15" x14ac:dyDescent="0.25">
      <c r="B478" t="s">
        <v>499</v>
      </c>
      <c r="C478" t="s">
        <v>22</v>
      </c>
      <c r="D478">
        <f>VLOOKUP(C478,customers[],3,0)</f>
        <v>37</v>
      </c>
      <c r="E478" t="str">
        <f>VLOOKUP(C478,customers[],2,0)</f>
        <v>Male</v>
      </c>
      <c r="F478" t="str">
        <f>VLOOKUP(C478,customers[],4,0)</f>
        <v>Columbus</v>
      </c>
      <c r="G478">
        <v>80</v>
      </c>
      <c r="H478" s="17" t="s">
        <v>12</v>
      </c>
      <c r="I478" s="18">
        <v>45063</v>
      </c>
      <c r="J478">
        <v>145</v>
      </c>
      <c r="K478">
        <v>4.9000000000000004</v>
      </c>
      <c r="L478">
        <f>IF(MONTH(calls[[#This Row],[Date of Call]])&lt;=6, YEAR(calls[[#This Row],[Date of Call]]), YEAR(calls[[#This Row],[Date of Call]])+1)</f>
        <v>2023</v>
      </c>
      <c r="M478" t="str">
        <f>TEXT(calls[[#This Row],[Date of Call]],"DDDD")</f>
        <v>الأربعاء</v>
      </c>
      <c r="N478" t="str" cm="1">
        <f t="array" ref="N478">_xlfn.IFS(calls[[#This Row],[Duration]]&lt;=10,"Under 10 mins", calls[[#This Row],[Duration]]&lt;=30, "10 to 30 mins", calls[[#This Row],[Duration]]&lt;=60, "30 to 60 mins", calls[[#This Row],[Duration]]&lt;=120, "1 to 2 hours", TRUE, "More than 2 hours")</f>
        <v>1 to 2 hours</v>
      </c>
      <c r="O478">
        <f>ROUND(calls[[#This Row],[Satisfaction Rating]],0)</f>
        <v>5</v>
      </c>
    </row>
    <row r="479" spans="2:15" x14ac:dyDescent="0.25">
      <c r="B479" t="s">
        <v>500</v>
      </c>
      <c r="C479" t="s">
        <v>4</v>
      </c>
      <c r="D479">
        <f>VLOOKUP(C479,customers[],3,0)</f>
        <v>42</v>
      </c>
      <c r="E479" t="str">
        <f>VLOOKUP(C479,customers[],2,0)</f>
        <v>Female</v>
      </c>
      <c r="F479" t="str">
        <f>VLOOKUP(C479,customers[],4,0)</f>
        <v>Cleveland</v>
      </c>
      <c r="G479">
        <v>139</v>
      </c>
      <c r="H479" s="17" t="s">
        <v>10</v>
      </c>
      <c r="I479" s="18">
        <v>45063</v>
      </c>
      <c r="J479">
        <v>220</v>
      </c>
      <c r="K479">
        <v>3.2</v>
      </c>
      <c r="L479">
        <f>IF(MONTH(calls[[#This Row],[Date of Call]])&lt;=6, YEAR(calls[[#This Row],[Date of Call]]), YEAR(calls[[#This Row],[Date of Call]])+1)</f>
        <v>2023</v>
      </c>
      <c r="M479" t="str">
        <f>TEXT(calls[[#This Row],[Date of Call]],"DDDD")</f>
        <v>الأربعاء</v>
      </c>
      <c r="N479" t="str" cm="1">
        <f t="array" ref="N479">_xlfn.IFS(calls[[#This Row],[Duration]]&lt;=10,"Under 10 mins", calls[[#This Row],[Duration]]&lt;=30, "10 to 30 mins", calls[[#This Row],[Duration]]&lt;=60, "30 to 60 mins", calls[[#This Row],[Duration]]&lt;=120, "1 to 2 hours", TRUE, "More than 2 hours")</f>
        <v>More than 2 hours</v>
      </c>
      <c r="O479">
        <f>ROUND(calls[[#This Row],[Satisfaction Rating]],0)</f>
        <v>3</v>
      </c>
    </row>
    <row r="480" spans="2:15" x14ac:dyDescent="0.25">
      <c r="B480" t="s">
        <v>501</v>
      </c>
      <c r="C480" t="s">
        <v>23</v>
      </c>
      <c r="D480">
        <f>VLOOKUP(C480,customers[],3,0)</f>
        <v>31</v>
      </c>
      <c r="E480" t="str">
        <f>VLOOKUP(C480,customers[],2,0)</f>
        <v>Male</v>
      </c>
      <c r="F480" t="str">
        <f>VLOOKUP(C480,customers[],4,0)</f>
        <v>Cleveland</v>
      </c>
      <c r="G480">
        <v>50</v>
      </c>
      <c r="H480" s="17" t="s">
        <v>8</v>
      </c>
      <c r="I480" s="18">
        <v>45063</v>
      </c>
      <c r="J480">
        <v>26</v>
      </c>
      <c r="K480">
        <v>4.7</v>
      </c>
      <c r="L480">
        <f>IF(MONTH(calls[[#This Row],[Date of Call]])&lt;=6, YEAR(calls[[#This Row],[Date of Call]]), YEAR(calls[[#This Row],[Date of Call]])+1)</f>
        <v>2023</v>
      </c>
      <c r="M480" t="str">
        <f>TEXT(calls[[#This Row],[Date of Call]],"DDDD")</f>
        <v>الأربعاء</v>
      </c>
      <c r="N480" t="str" cm="1">
        <f t="array" ref="N480">_xlfn.IFS(calls[[#This Row],[Duration]]&lt;=10,"Under 10 mins", calls[[#This Row],[Duration]]&lt;=30, "10 to 30 mins", calls[[#This Row],[Duration]]&lt;=60, "30 to 60 mins", calls[[#This Row],[Duration]]&lt;=120, "1 to 2 hours", TRUE, "More than 2 hours")</f>
        <v>30 to 60 mins</v>
      </c>
      <c r="O480">
        <f>ROUND(calls[[#This Row],[Satisfaction Rating]],0)</f>
        <v>5</v>
      </c>
    </row>
    <row r="481" spans="2:15" x14ac:dyDescent="0.25">
      <c r="B481" t="s">
        <v>502</v>
      </c>
      <c r="C481" t="s">
        <v>22</v>
      </c>
      <c r="D481">
        <f>VLOOKUP(C481,customers[],3,0)</f>
        <v>37</v>
      </c>
      <c r="E481" t="str">
        <f>VLOOKUP(C481,customers[],2,0)</f>
        <v>Male</v>
      </c>
      <c r="F481" t="str">
        <f>VLOOKUP(C481,customers[],4,0)</f>
        <v>Columbus</v>
      </c>
      <c r="G481">
        <v>88</v>
      </c>
      <c r="H481" s="17" t="s">
        <v>12</v>
      </c>
      <c r="I481" s="18">
        <v>45063</v>
      </c>
      <c r="J481">
        <v>78</v>
      </c>
      <c r="K481">
        <v>4.3</v>
      </c>
      <c r="L481">
        <f>IF(MONTH(calls[[#This Row],[Date of Call]])&lt;=6, YEAR(calls[[#This Row],[Date of Call]]), YEAR(calls[[#This Row],[Date of Call]])+1)</f>
        <v>2023</v>
      </c>
      <c r="M481" t="str">
        <f>TEXT(calls[[#This Row],[Date of Call]],"DDDD")</f>
        <v>الأربعاء</v>
      </c>
      <c r="N481" t="str" cm="1">
        <f t="array" ref="N481">_xlfn.IFS(calls[[#This Row],[Duration]]&lt;=10,"Under 10 mins", calls[[#This Row],[Duration]]&lt;=30, "10 to 30 mins", calls[[#This Row],[Duration]]&lt;=60, "30 to 60 mins", calls[[#This Row],[Duration]]&lt;=120, "1 to 2 hours", TRUE, "More than 2 hours")</f>
        <v>1 to 2 hours</v>
      </c>
      <c r="O481">
        <f>ROUND(calls[[#This Row],[Satisfaction Rating]],0)</f>
        <v>4</v>
      </c>
    </row>
    <row r="482" spans="2:15" x14ac:dyDescent="0.25">
      <c r="B482" t="s">
        <v>503</v>
      </c>
      <c r="C482" t="s">
        <v>17</v>
      </c>
      <c r="D482">
        <f>VLOOKUP(C482,customers[],3,0)</f>
        <v>30</v>
      </c>
      <c r="E482" t="str">
        <f>VLOOKUP(C482,customers[],2,0)</f>
        <v>Female</v>
      </c>
      <c r="F482" t="str">
        <f>VLOOKUP(C482,customers[],4,0)</f>
        <v>Cleveland</v>
      </c>
      <c r="G482">
        <v>19</v>
      </c>
      <c r="H482" s="17" t="s">
        <v>5</v>
      </c>
      <c r="I482" s="18">
        <v>45064</v>
      </c>
      <c r="J482">
        <v>132</v>
      </c>
      <c r="K482">
        <v>4.3</v>
      </c>
      <c r="L482">
        <f>IF(MONTH(calls[[#This Row],[Date of Call]])&lt;=6, YEAR(calls[[#This Row],[Date of Call]]), YEAR(calls[[#This Row],[Date of Call]])+1)</f>
        <v>2023</v>
      </c>
      <c r="M482" t="str">
        <f>TEXT(calls[[#This Row],[Date of Call]],"DDDD")</f>
        <v>الخميس</v>
      </c>
      <c r="N482" t="str" cm="1">
        <f t="array" ref="N482">_xlfn.IFS(calls[[#This Row],[Duration]]&lt;=10,"Under 10 mins", calls[[#This Row],[Duration]]&lt;=30, "10 to 30 mins", calls[[#This Row],[Duration]]&lt;=60, "30 to 60 mins", calls[[#This Row],[Duration]]&lt;=120, "1 to 2 hours", TRUE, "More than 2 hours")</f>
        <v>10 to 30 mins</v>
      </c>
      <c r="O482">
        <f>ROUND(calls[[#This Row],[Satisfaction Rating]],0)</f>
        <v>4</v>
      </c>
    </row>
    <row r="483" spans="2:15" x14ac:dyDescent="0.25">
      <c r="B483" t="s">
        <v>504</v>
      </c>
      <c r="C483" t="s">
        <v>21</v>
      </c>
      <c r="D483">
        <f>VLOOKUP(C483,customers[],3,0)</f>
        <v>25</v>
      </c>
      <c r="E483" t="str">
        <f>VLOOKUP(C483,customers[],2,0)</f>
        <v>Female</v>
      </c>
      <c r="F483" t="str">
        <f>VLOOKUP(C483,customers[],4,0)</f>
        <v>Columbus</v>
      </c>
      <c r="G483">
        <v>104</v>
      </c>
      <c r="H483" s="17" t="s">
        <v>5</v>
      </c>
      <c r="I483" s="18">
        <v>45065</v>
      </c>
      <c r="J483">
        <v>68</v>
      </c>
      <c r="K483">
        <v>3.7</v>
      </c>
      <c r="L483">
        <f>IF(MONTH(calls[[#This Row],[Date of Call]])&lt;=6, YEAR(calls[[#This Row],[Date of Call]]), YEAR(calls[[#This Row],[Date of Call]])+1)</f>
        <v>2023</v>
      </c>
      <c r="M483" t="str">
        <f>TEXT(calls[[#This Row],[Date of Call]],"DDDD")</f>
        <v>الجمعة</v>
      </c>
      <c r="N483" t="str" cm="1">
        <f t="array" ref="N483">_xlfn.IFS(calls[[#This Row],[Duration]]&lt;=10,"Under 10 mins", calls[[#This Row],[Duration]]&lt;=30, "10 to 30 mins", calls[[#This Row],[Duration]]&lt;=60, "30 to 60 mins", calls[[#This Row],[Duration]]&lt;=120, "1 to 2 hours", TRUE, "More than 2 hours")</f>
        <v>1 to 2 hours</v>
      </c>
      <c r="O483">
        <f>ROUND(calls[[#This Row],[Satisfaction Rating]],0)</f>
        <v>4</v>
      </c>
    </row>
    <row r="484" spans="2:15" x14ac:dyDescent="0.25">
      <c r="B484" t="s">
        <v>505</v>
      </c>
      <c r="C484" t="s">
        <v>11</v>
      </c>
      <c r="D484">
        <f>VLOOKUP(C484,customers[],3,0)</f>
        <v>36</v>
      </c>
      <c r="E484" t="str">
        <f>VLOOKUP(C484,customers[],2,0)</f>
        <v>Male</v>
      </c>
      <c r="F484" t="str">
        <f>VLOOKUP(C484,customers[],4,0)</f>
        <v>Cincinnati</v>
      </c>
      <c r="G484">
        <v>67</v>
      </c>
      <c r="H484" s="17" t="s">
        <v>10</v>
      </c>
      <c r="I484" s="18">
        <v>45067</v>
      </c>
      <c r="J484">
        <v>129</v>
      </c>
      <c r="K484">
        <v>4.7</v>
      </c>
      <c r="L484">
        <f>IF(MONTH(calls[[#This Row],[Date of Call]])&lt;=6, YEAR(calls[[#This Row],[Date of Call]]), YEAR(calls[[#This Row],[Date of Call]])+1)</f>
        <v>2023</v>
      </c>
      <c r="M484" t="str">
        <f>TEXT(calls[[#This Row],[Date of Call]],"DDDD")</f>
        <v>الأحد</v>
      </c>
      <c r="N484" t="str" cm="1">
        <f t="array" ref="N484">_xlfn.IFS(calls[[#This Row],[Duration]]&lt;=10,"Under 10 mins", calls[[#This Row],[Duration]]&lt;=30, "10 to 30 mins", calls[[#This Row],[Duration]]&lt;=60, "30 to 60 mins", calls[[#This Row],[Duration]]&lt;=120, "1 to 2 hours", TRUE, "More than 2 hours")</f>
        <v>1 to 2 hours</v>
      </c>
      <c r="O484">
        <f>ROUND(calls[[#This Row],[Satisfaction Rating]],0)</f>
        <v>5</v>
      </c>
    </row>
    <row r="485" spans="2:15" x14ac:dyDescent="0.25">
      <c r="B485" t="s">
        <v>506</v>
      </c>
      <c r="C485" t="s">
        <v>15</v>
      </c>
      <c r="D485">
        <f>VLOOKUP(C485,customers[],3,0)</f>
        <v>28</v>
      </c>
      <c r="E485" t="str">
        <f>VLOOKUP(C485,customers[],2,0)</f>
        <v>Female</v>
      </c>
      <c r="F485" t="str">
        <f>VLOOKUP(C485,customers[],4,0)</f>
        <v>Cincinnati</v>
      </c>
      <c r="G485">
        <v>107</v>
      </c>
      <c r="H485" s="17" t="s">
        <v>5</v>
      </c>
      <c r="I485" s="18">
        <v>45067</v>
      </c>
      <c r="J485">
        <v>115</v>
      </c>
      <c r="K485">
        <v>4.9000000000000004</v>
      </c>
      <c r="L485">
        <f>IF(MONTH(calls[[#This Row],[Date of Call]])&lt;=6, YEAR(calls[[#This Row],[Date of Call]]), YEAR(calls[[#This Row],[Date of Call]])+1)</f>
        <v>2023</v>
      </c>
      <c r="M485" t="str">
        <f>TEXT(calls[[#This Row],[Date of Call]],"DDDD")</f>
        <v>الأحد</v>
      </c>
      <c r="N485" t="str" cm="1">
        <f t="array" ref="N485">_xlfn.IFS(calls[[#This Row],[Duration]]&lt;=10,"Under 10 mins", calls[[#This Row],[Duration]]&lt;=30, "10 to 30 mins", calls[[#This Row],[Duration]]&lt;=60, "30 to 60 mins", calls[[#This Row],[Duration]]&lt;=120, "1 to 2 hours", TRUE, "More than 2 hours")</f>
        <v>1 to 2 hours</v>
      </c>
      <c r="O485">
        <f>ROUND(calls[[#This Row],[Satisfaction Rating]],0)</f>
        <v>5</v>
      </c>
    </row>
    <row r="486" spans="2:15" x14ac:dyDescent="0.25">
      <c r="B486" t="s">
        <v>507</v>
      </c>
      <c r="C486" t="s">
        <v>15</v>
      </c>
      <c r="D486">
        <f>VLOOKUP(C486,customers[],3,0)</f>
        <v>28</v>
      </c>
      <c r="E486" t="str">
        <f>VLOOKUP(C486,customers[],2,0)</f>
        <v>Female</v>
      </c>
      <c r="F486" t="str">
        <f>VLOOKUP(C486,customers[],4,0)</f>
        <v>Cincinnati</v>
      </c>
      <c r="G486">
        <v>93</v>
      </c>
      <c r="H486" s="17" t="s">
        <v>5</v>
      </c>
      <c r="I486" s="18">
        <v>45067</v>
      </c>
      <c r="J486">
        <v>128</v>
      </c>
      <c r="K486">
        <v>3.9</v>
      </c>
      <c r="L486">
        <f>IF(MONTH(calls[[#This Row],[Date of Call]])&lt;=6, YEAR(calls[[#This Row],[Date of Call]]), YEAR(calls[[#This Row],[Date of Call]])+1)</f>
        <v>2023</v>
      </c>
      <c r="M486" t="str">
        <f>TEXT(calls[[#This Row],[Date of Call]],"DDDD")</f>
        <v>الأحد</v>
      </c>
      <c r="N486" t="str" cm="1">
        <f t="array" ref="N486">_xlfn.IFS(calls[[#This Row],[Duration]]&lt;=10,"Under 10 mins", calls[[#This Row],[Duration]]&lt;=30, "10 to 30 mins", calls[[#This Row],[Duration]]&lt;=60, "30 to 60 mins", calls[[#This Row],[Duration]]&lt;=120, "1 to 2 hours", TRUE, "More than 2 hours")</f>
        <v>1 to 2 hours</v>
      </c>
      <c r="O486">
        <f>ROUND(calls[[#This Row],[Satisfaction Rating]],0)</f>
        <v>4</v>
      </c>
    </row>
    <row r="487" spans="2:15" x14ac:dyDescent="0.25">
      <c r="B487" t="s">
        <v>508</v>
      </c>
      <c r="C487" t="s">
        <v>15</v>
      </c>
      <c r="D487">
        <f>VLOOKUP(C487,customers[],3,0)</f>
        <v>28</v>
      </c>
      <c r="E487" t="str">
        <f>VLOOKUP(C487,customers[],2,0)</f>
        <v>Female</v>
      </c>
      <c r="F487" t="str">
        <f>VLOOKUP(C487,customers[],4,0)</f>
        <v>Cincinnati</v>
      </c>
      <c r="G487">
        <v>117</v>
      </c>
      <c r="H487" s="17" t="s">
        <v>10</v>
      </c>
      <c r="I487" s="18">
        <v>45067</v>
      </c>
      <c r="J487">
        <v>90</v>
      </c>
      <c r="K487">
        <v>4.5</v>
      </c>
      <c r="L487">
        <f>IF(MONTH(calls[[#This Row],[Date of Call]])&lt;=6, YEAR(calls[[#This Row],[Date of Call]]), YEAR(calls[[#This Row],[Date of Call]])+1)</f>
        <v>2023</v>
      </c>
      <c r="M487" t="str">
        <f>TEXT(calls[[#This Row],[Date of Call]],"DDDD")</f>
        <v>الأحد</v>
      </c>
      <c r="N487" t="str" cm="1">
        <f t="array" ref="N487">_xlfn.IFS(calls[[#This Row],[Duration]]&lt;=10,"Under 10 mins", calls[[#This Row],[Duration]]&lt;=30, "10 to 30 mins", calls[[#This Row],[Duration]]&lt;=60, "30 to 60 mins", calls[[#This Row],[Duration]]&lt;=120, "1 to 2 hours", TRUE, "More than 2 hours")</f>
        <v>1 to 2 hours</v>
      </c>
      <c r="O487">
        <f>ROUND(calls[[#This Row],[Satisfaction Rating]],0)</f>
        <v>5</v>
      </c>
    </row>
    <row r="488" spans="2:15" x14ac:dyDescent="0.25">
      <c r="B488" t="s">
        <v>509</v>
      </c>
      <c r="C488" t="s">
        <v>23</v>
      </c>
      <c r="D488">
        <f>VLOOKUP(C488,customers[],3,0)</f>
        <v>31</v>
      </c>
      <c r="E488" t="str">
        <f>VLOOKUP(C488,customers[],2,0)</f>
        <v>Male</v>
      </c>
      <c r="F488" t="str">
        <f>VLOOKUP(C488,customers[],4,0)</f>
        <v>Cleveland</v>
      </c>
      <c r="G488">
        <v>76</v>
      </c>
      <c r="H488" s="17" t="s">
        <v>12</v>
      </c>
      <c r="I488" s="18">
        <v>45068</v>
      </c>
      <c r="J488">
        <v>39</v>
      </c>
      <c r="K488">
        <v>4.5999999999999996</v>
      </c>
      <c r="L488">
        <f>IF(MONTH(calls[[#This Row],[Date of Call]])&lt;=6, YEAR(calls[[#This Row],[Date of Call]]), YEAR(calls[[#This Row],[Date of Call]])+1)</f>
        <v>2023</v>
      </c>
      <c r="M488" t="str">
        <f>TEXT(calls[[#This Row],[Date of Call]],"DDDD")</f>
        <v>الإثنين</v>
      </c>
      <c r="N488" t="str" cm="1">
        <f t="array" ref="N488">_xlfn.IFS(calls[[#This Row],[Duration]]&lt;=10,"Under 10 mins", calls[[#This Row],[Duration]]&lt;=30, "10 to 30 mins", calls[[#This Row],[Duration]]&lt;=60, "30 to 60 mins", calls[[#This Row],[Duration]]&lt;=120, "1 to 2 hours", TRUE, "More than 2 hours")</f>
        <v>1 to 2 hours</v>
      </c>
      <c r="O488">
        <f>ROUND(calls[[#This Row],[Satisfaction Rating]],0)</f>
        <v>5</v>
      </c>
    </row>
    <row r="489" spans="2:15" x14ac:dyDescent="0.25">
      <c r="B489" t="s">
        <v>510</v>
      </c>
      <c r="C489" t="s">
        <v>17</v>
      </c>
      <c r="D489">
        <f>VLOOKUP(C489,customers[],3,0)</f>
        <v>30</v>
      </c>
      <c r="E489" t="str">
        <f>VLOOKUP(C489,customers[],2,0)</f>
        <v>Female</v>
      </c>
      <c r="F489" t="str">
        <f>VLOOKUP(C489,customers[],4,0)</f>
        <v>Cleveland</v>
      </c>
      <c r="G489">
        <v>64</v>
      </c>
      <c r="H489" s="17" t="s">
        <v>5</v>
      </c>
      <c r="I489" s="18">
        <v>45068</v>
      </c>
      <c r="J489">
        <v>132</v>
      </c>
      <c r="K489">
        <v>3.3</v>
      </c>
      <c r="L489">
        <f>IF(MONTH(calls[[#This Row],[Date of Call]])&lt;=6, YEAR(calls[[#This Row],[Date of Call]]), YEAR(calls[[#This Row],[Date of Call]])+1)</f>
        <v>2023</v>
      </c>
      <c r="M489" t="str">
        <f>TEXT(calls[[#This Row],[Date of Call]],"DDDD")</f>
        <v>الإثنين</v>
      </c>
      <c r="N489" t="str" cm="1">
        <f t="array" ref="N489">_xlfn.IFS(calls[[#This Row],[Duration]]&lt;=10,"Under 10 mins", calls[[#This Row],[Duration]]&lt;=30, "10 to 30 mins", calls[[#This Row],[Duration]]&lt;=60, "30 to 60 mins", calls[[#This Row],[Duration]]&lt;=120, "1 to 2 hours", TRUE, "More than 2 hours")</f>
        <v>1 to 2 hours</v>
      </c>
      <c r="O489">
        <f>ROUND(calls[[#This Row],[Satisfaction Rating]],0)</f>
        <v>3</v>
      </c>
    </row>
    <row r="490" spans="2:15" x14ac:dyDescent="0.25">
      <c r="B490" t="s">
        <v>511</v>
      </c>
      <c r="C490" t="s">
        <v>7</v>
      </c>
      <c r="D490">
        <f>VLOOKUP(C490,customers[],3,0)</f>
        <v>30</v>
      </c>
      <c r="E490" t="str">
        <f>VLOOKUP(C490,customers[],2,0)</f>
        <v>Female</v>
      </c>
      <c r="F490" t="str">
        <f>VLOOKUP(C490,customers[],4,0)</f>
        <v>Cincinnati</v>
      </c>
      <c r="G490">
        <v>33</v>
      </c>
      <c r="H490" s="17" t="s">
        <v>5</v>
      </c>
      <c r="I490" s="18">
        <v>45068</v>
      </c>
      <c r="J490">
        <v>170</v>
      </c>
      <c r="K490">
        <v>3.8</v>
      </c>
      <c r="L490">
        <f>IF(MONTH(calls[[#This Row],[Date of Call]])&lt;=6, YEAR(calls[[#This Row],[Date of Call]]), YEAR(calls[[#This Row],[Date of Call]])+1)</f>
        <v>2023</v>
      </c>
      <c r="M490" t="str">
        <f>TEXT(calls[[#This Row],[Date of Call]],"DDDD")</f>
        <v>الإثنين</v>
      </c>
      <c r="N490" t="str" cm="1">
        <f t="array" ref="N490">_xlfn.IFS(calls[[#This Row],[Duration]]&lt;=10,"Under 10 mins", calls[[#This Row],[Duration]]&lt;=30, "10 to 30 mins", calls[[#This Row],[Duration]]&lt;=60, "30 to 60 mins", calls[[#This Row],[Duration]]&lt;=120, "1 to 2 hours", TRUE, "More than 2 hours")</f>
        <v>30 to 60 mins</v>
      </c>
      <c r="O490">
        <f>ROUND(calls[[#This Row],[Satisfaction Rating]],0)</f>
        <v>4</v>
      </c>
    </row>
    <row r="491" spans="2:15" x14ac:dyDescent="0.25">
      <c r="B491" t="s">
        <v>512</v>
      </c>
      <c r="C491" t="s">
        <v>15</v>
      </c>
      <c r="D491">
        <f>VLOOKUP(C491,customers[],3,0)</f>
        <v>28</v>
      </c>
      <c r="E491" t="str">
        <f>VLOOKUP(C491,customers[],2,0)</f>
        <v>Female</v>
      </c>
      <c r="F491" t="str">
        <f>VLOOKUP(C491,customers[],4,0)</f>
        <v>Cincinnati</v>
      </c>
      <c r="G491">
        <v>115</v>
      </c>
      <c r="H491" s="17" t="s">
        <v>10</v>
      </c>
      <c r="I491" s="18">
        <v>45068</v>
      </c>
      <c r="J491">
        <v>42</v>
      </c>
      <c r="K491">
        <v>4.7</v>
      </c>
      <c r="L491">
        <f>IF(MONTH(calls[[#This Row],[Date of Call]])&lt;=6, YEAR(calls[[#This Row],[Date of Call]]), YEAR(calls[[#This Row],[Date of Call]])+1)</f>
        <v>2023</v>
      </c>
      <c r="M491" t="str">
        <f>TEXT(calls[[#This Row],[Date of Call]],"DDDD")</f>
        <v>الإثنين</v>
      </c>
      <c r="N491" t="str" cm="1">
        <f t="array" ref="N491">_xlfn.IFS(calls[[#This Row],[Duration]]&lt;=10,"Under 10 mins", calls[[#This Row],[Duration]]&lt;=30, "10 to 30 mins", calls[[#This Row],[Duration]]&lt;=60, "30 to 60 mins", calls[[#This Row],[Duration]]&lt;=120, "1 to 2 hours", TRUE, "More than 2 hours")</f>
        <v>1 to 2 hours</v>
      </c>
      <c r="O491">
        <f>ROUND(calls[[#This Row],[Satisfaction Rating]],0)</f>
        <v>5</v>
      </c>
    </row>
    <row r="492" spans="2:15" x14ac:dyDescent="0.25">
      <c r="B492" t="s">
        <v>513</v>
      </c>
      <c r="C492" t="s">
        <v>20</v>
      </c>
      <c r="D492">
        <f>VLOOKUP(C492,customers[],3,0)</f>
        <v>38</v>
      </c>
      <c r="E492" t="str">
        <f>VLOOKUP(C492,customers[],2,0)</f>
        <v>Female</v>
      </c>
      <c r="F492" t="str">
        <f>VLOOKUP(C492,customers[],4,0)</f>
        <v>Columbus</v>
      </c>
      <c r="G492">
        <v>155</v>
      </c>
      <c r="H492" s="17" t="s">
        <v>12</v>
      </c>
      <c r="I492" s="18">
        <v>45069</v>
      </c>
      <c r="J492">
        <v>37</v>
      </c>
      <c r="K492">
        <v>4</v>
      </c>
      <c r="L492">
        <f>IF(MONTH(calls[[#This Row],[Date of Call]])&lt;=6, YEAR(calls[[#This Row],[Date of Call]]), YEAR(calls[[#This Row],[Date of Call]])+1)</f>
        <v>2023</v>
      </c>
      <c r="M492" t="str">
        <f>TEXT(calls[[#This Row],[Date of Call]],"DDDD")</f>
        <v>الثلاثاء</v>
      </c>
      <c r="N492" t="str" cm="1">
        <f t="array" ref="N492">_xlfn.IFS(calls[[#This Row],[Duration]]&lt;=10,"Under 10 mins", calls[[#This Row],[Duration]]&lt;=30, "10 to 30 mins", calls[[#This Row],[Duration]]&lt;=60, "30 to 60 mins", calls[[#This Row],[Duration]]&lt;=120, "1 to 2 hours", TRUE, "More than 2 hours")</f>
        <v>More than 2 hours</v>
      </c>
      <c r="O492">
        <f>ROUND(calls[[#This Row],[Satisfaction Rating]],0)</f>
        <v>4</v>
      </c>
    </row>
    <row r="493" spans="2:15" x14ac:dyDescent="0.25">
      <c r="B493" t="s">
        <v>514</v>
      </c>
      <c r="C493" t="s">
        <v>11</v>
      </c>
      <c r="D493">
        <f>VLOOKUP(C493,customers[],3,0)</f>
        <v>36</v>
      </c>
      <c r="E493" t="str">
        <f>VLOOKUP(C493,customers[],2,0)</f>
        <v>Male</v>
      </c>
      <c r="F493" t="str">
        <f>VLOOKUP(C493,customers[],4,0)</f>
        <v>Cincinnati</v>
      </c>
      <c r="G493">
        <v>117</v>
      </c>
      <c r="H493" s="17" t="s">
        <v>12</v>
      </c>
      <c r="I493" s="18">
        <v>45069</v>
      </c>
      <c r="J493">
        <v>88</v>
      </c>
      <c r="K493">
        <v>4.7</v>
      </c>
      <c r="L493">
        <f>IF(MONTH(calls[[#This Row],[Date of Call]])&lt;=6, YEAR(calls[[#This Row],[Date of Call]]), YEAR(calls[[#This Row],[Date of Call]])+1)</f>
        <v>2023</v>
      </c>
      <c r="M493" t="str">
        <f>TEXT(calls[[#This Row],[Date of Call]],"DDDD")</f>
        <v>الثلاثاء</v>
      </c>
      <c r="N493" t="str" cm="1">
        <f t="array" ref="N493">_xlfn.IFS(calls[[#This Row],[Duration]]&lt;=10,"Under 10 mins", calls[[#This Row],[Duration]]&lt;=30, "10 to 30 mins", calls[[#This Row],[Duration]]&lt;=60, "30 to 60 mins", calls[[#This Row],[Duration]]&lt;=120, "1 to 2 hours", TRUE, "More than 2 hours")</f>
        <v>1 to 2 hours</v>
      </c>
      <c r="O493">
        <f>ROUND(calls[[#This Row],[Satisfaction Rating]],0)</f>
        <v>5</v>
      </c>
    </row>
    <row r="494" spans="2:15" x14ac:dyDescent="0.25">
      <c r="B494" t="s">
        <v>515</v>
      </c>
      <c r="C494" t="s">
        <v>4</v>
      </c>
      <c r="D494">
        <f>VLOOKUP(C494,customers[],3,0)</f>
        <v>42</v>
      </c>
      <c r="E494" t="str">
        <f>VLOOKUP(C494,customers[],2,0)</f>
        <v>Female</v>
      </c>
      <c r="F494" t="str">
        <f>VLOOKUP(C494,customers[],4,0)</f>
        <v>Cleveland</v>
      </c>
      <c r="G494">
        <v>63</v>
      </c>
      <c r="H494" s="17" t="s">
        <v>12</v>
      </c>
      <c r="I494" s="18">
        <v>45069</v>
      </c>
      <c r="J494">
        <v>80</v>
      </c>
      <c r="K494">
        <v>2.5</v>
      </c>
      <c r="L494">
        <f>IF(MONTH(calls[[#This Row],[Date of Call]])&lt;=6, YEAR(calls[[#This Row],[Date of Call]]), YEAR(calls[[#This Row],[Date of Call]])+1)</f>
        <v>2023</v>
      </c>
      <c r="M494" t="str">
        <f>TEXT(calls[[#This Row],[Date of Call]],"DDDD")</f>
        <v>الثلاثاء</v>
      </c>
      <c r="N494" t="str" cm="1">
        <f t="array" ref="N494">_xlfn.IFS(calls[[#This Row],[Duration]]&lt;=10,"Under 10 mins", calls[[#This Row],[Duration]]&lt;=30, "10 to 30 mins", calls[[#This Row],[Duration]]&lt;=60, "30 to 60 mins", calls[[#This Row],[Duration]]&lt;=120, "1 to 2 hours", TRUE, "More than 2 hours")</f>
        <v>1 to 2 hours</v>
      </c>
      <c r="O494">
        <f>ROUND(calls[[#This Row],[Satisfaction Rating]],0)</f>
        <v>3</v>
      </c>
    </row>
    <row r="495" spans="2:15" x14ac:dyDescent="0.25">
      <c r="B495" t="s">
        <v>516</v>
      </c>
      <c r="C495" t="s">
        <v>17</v>
      </c>
      <c r="D495">
        <f>VLOOKUP(C495,customers[],3,0)</f>
        <v>30</v>
      </c>
      <c r="E495" t="str">
        <f>VLOOKUP(C495,customers[],2,0)</f>
        <v>Female</v>
      </c>
      <c r="F495" t="str">
        <f>VLOOKUP(C495,customers[],4,0)</f>
        <v>Cleveland</v>
      </c>
      <c r="G495">
        <v>59</v>
      </c>
      <c r="H495" s="17" t="s">
        <v>9</v>
      </c>
      <c r="I495" s="18">
        <v>45070</v>
      </c>
      <c r="J495">
        <v>123</v>
      </c>
      <c r="K495">
        <v>3.6</v>
      </c>
      <c r="L495">
        <f>IF(MONTH(calls[[#This Row],[Date of Call]])&lt;=6, YEAR(calls[[#This Row],[Date of Call]]), YEAR(calls[[#This Row],[Date of Call]])+1)</f>
        <v>2023</v>
      </c>
      <c r="M495" t="str">
        <f>TEXT(calls[[#This Row],[Date of Call]],"DDDD")</f>
        <v>الأربعاء</v>
      </c>
      <c r="N495" t="str" cm="1">
        <f t="array" ref="N495">_xlfn.IFS(calls[[#This Row],[Duration]]&lt;=10,"Under 10 mins", calls[[#This Row],[Duration]]&lt;=30, "10 to 30 mins", calls[[#This Row],[Duration]]&lt;=60, "30 to 60 mins", calls[[#This Row],[Duration]]&lt;=120, "1 to 2 hours", TRUE, "More than 2 hours")</f>
        <v>30 to 60 mins</v>
      </c>
      <c r="O495">
        <f>ROUND(calls[[#This Row],[Satisfaction Rating]],0)</f>
        <v>4</v>
      </c>
    </row>
    <row r="496" spans="2:15" x14ac:dyDescent="0.25">
      <c r="B496" t="s">
        <v>517</v>
      </c>
      <c r="C496" t="s">
        <v>6</v>
      </c>
      <c r="D496">
        <f>VLOOKUP(C496,customers[],3,0)</f>
        <v>23</v>
      </c>
      <c r="E496" t="str">
        <f>VLOOKUP(C496,customers[],2,0)</f>
        <v>Male</v>
      </c>
      <c r="F496" t="str">
        <f>VLOOKUP(C496,customers[],4,0)</f>
        <v>Columbus</v>
      </c>
      <c r="G496">
        <v>133</v>
      </c>
      <c r="H496" s="17" t="s">
        <v>5</v>
      </c>
      <c r="I496" s="18">
        <v>45070</v>
      </c>
      <c r="J496">
        <v>31</v>
      </c>
      <c r="K496">
        <v>3.7</v>
      </c>
      <c r="L496">
        <f>IF(MONTH(calls[[#This Row],[Date of Call]])&lt;=6, YEAR(calls[[#This Row],[Date of Call]]), YEAR(calls[[#This Row],[Date of Call]])+1)</f>
        <v>2023</v>
      </c>
      <c r="M496" t="str">
        <f>TEXT(calls[[#This Row],[Date of Call]],"DDDD")</f>
        <v>الأربعاء</v>
      </c>
      <c r="N496" t="str" cm="1">
        <f t="array" ref="N496">_xlfn.IFS(calls[[#This Row],[Duration]]&lt;=10,"Under 10 mins", calls[[#This Row],[Duration]]&lt;=30, "10 to 30 mins", calls[[#This Row],[Duration]]&lt;=60, "30 to 60 mins", calls[[#This Row],[Duration]]&lt;=120, "1 to 2 hours", TRUE, "More than 2 hours")</f>
        <v>More than 2 hours</v>
      </c>
      <c r="O496">
        <f>ROUND(calls[[#This Row],[Satisfaction Rating]],0)</f>
        <v>4</v>
      </c>
    </row>
    <row r="497" spans="2:15" x14ac:dyDescent="0.25">
      <c r="B497" t="s">
        <v>518</v>
      </c>
      <c r="C497" t="s">
        <v>16</v>
      </c>
      <c r="D497">
        <f>VLOOKUP(C497,customers[],3,0)</f>
        <v>41</v>
      </c>
      <c r="E497" t="str">
        <f>VLOOKUP(C497,customers[],2,0)</f>
        <v>Male</v>
      </c>
      <c r="F497" t="str">
        <f>VLOOKUP(C497,customers[],4,0)</f>
        <v>Columbus</v>
      </c>
      <c r="G497">
        <v>101</v>
      </c>
      <c r="H497" s="17" t="s">
        <v>8</v>
      </c>
      <c r="I497" s="18">
        <v>45070</v>
      </c>
      <c r="J497">
        <v>205</v>
      </c>
      <c r="K497">
        <v>3.9</v>
      </c>
      <c r="L497">
        <f>IF(MONTH(calls[[#This Row],[Date of Call]])&lt;=6, YEAR(calls[[#This Row],[Date of Call]]), YEAR(calls[[#This Row],[Date of Call]])+1)</f>
        <v>2023</v>
      </c>
      <c r="M497" t="str">
        <f>TEXT(calls[[#This Row],[Date of Call]],"DDDD")</f>
        <v>الأربعاء</v>
      </c>
      <c r="N497" t="str" cm="1">
        <f t="array" ref="N497">_xlfn.IFS(calls[[#This Row],[Duration]]&lt;=10,"Under 10 mins", calls[[#This Row],[Duration]]&lt;=30, "10 to 30 mins", calls[[#This Row],[Duration]]&lt;=60, "30 to 60 mins", calls[[#This Row],[Duration]]&lt;=120, "1 to 2 hours", TRUE, "More than 2 hours")</f>
        <v>1 to 2 hours</v>
      </c>
      <c r="O497">
        <f>ROUND(calls[[#This Row],[Satisfaction Rating]],0)</f>
        <v>4</v>
      </c>
    </row>
    <row r="498" spans="2:15" x14ac:dyDescent="0.25">
      <c r="B498" t="s">
        <v>519</v>
      </c>
      <c r="C498" t="s">
        <v>13</v>
      </c>
      <c r="D498">
        <f>VLOOKUP(C498,customers[],3,0)</f>
        <v>37</v>
      </c>
      <c r="E498" t="str">
        <f>VLOOKUP(C498,customers[],2,0)</f>
        <v>Female</v>
      </c>
      <c r="F498" t="str">
        <f>VLOOKUP(C498,customers[],4,0)</f>
        <v>Cleveland</v>
      </c>
      <c r="G498">
        <v>151</v>
      </c>
      <c r="H498" s="17" t="s">
        <v>12</v>
      </c>
      <c r="I498" s="18">
        <v>45071</v>
      </c>
      <c r="J498">
        <v>123</v>
      </c>
      <c r="K498">
        <v>3.7</v>
      </c>
      <c r="L498">
        <f>IF(MONTH(calls[[#This Row],[Date of Call]])&lt;=6, YEAR(calls[[#This Row],[Date of Call]]), YEAR(calls[[#This Row],[Date of Call]])+1)</f>
        <v>2023</v>
      </c>
      <c r="M498" t="str">
        <f>TEXT(calls[[#This Row],[Date of Call]],"DDDD")</f>
        <v>الخميس</v>
      </c>
      <c r="N498" t="str" cm="1">
        <f t="array" ref="N498">_xlfn.IFS(calls[[#This Row],[Duration]]&lt;=10,"Under 10 mins", calls[[#This Row],[Duration]]&lt;=30, "10 to 30 mins", calls[[#This Row],[Duration]]&lt;=60, "30 to 60 mins", calls[[#This Row],[Duration]]&lt;=120, "1 to 2 hours", TRUE, "More than 2 hours")</f>
        <v>More than 2 hours</v>
      </c>
      <c r="O498">
        <f>ROUND(calls[[#This Row],[Satisfaction Rating]],0)</f>
        <v>4</v>
      </c>
    </row>
    <row r="499" spans="2:15" x14ac:dyDescent="0.25">
      <c r="B499" t="s">
        <v>520</v>
      </c>
      <c r="C499" t="s">
        <v>7</v>
      </c>
      <c r="D499">
        <f>VLOOKUP(C499,customers[],3,0)</f>
        <v>30</v>
      </c>
      <c r="E499" t="str">
        <f>VLOOKUP(C499,customers[],2,0)</f>
        <v>Female</v>
      </c>
      <c r="F499" t="str">
        <f>VLOOKUP(C499,customers[],4,0)</f>
        <v>Cincinnati</v>
      </c>
      <c r="G499">
        <v>146</v>
      </c>
      <c r="H499" s="17" t="s">
        <v>5</v>
      </c>
      <c r="I499" s="18">
        <v>45071</v>
      </c>
      <c r="J499">
        <v>123</v>
      </c>
      <c r="K499">
        <v>4.3</v>
      </c>
      <c r="L499">
        <f>IF(MONTH(calls[[#This Row],[Date of Call]])&lt;=6, YEAR(calls[[#This Row],[Date of Call]]), YEAR(calls[[#This Row],[Date of Call]])+1)</f>
        <v>2023</v>
      </c>
      <c r="M499" t="str">
        <f>TEXT(calls[[#This Row],[Date of Call]],"DDDD")</f>
        <v>الخميس</v>
      </c>
      <c r="N499" t="str" cm="1">
        <f t="array" ref="N499">_xlfn.IFS(calls[[#This Row],[Duration]]&lt;=10,"Under 10 mins", calls[[#This Row],[Duration]]&lt;=30, "10 to 30 mins", calls[[#This Row],[Duration]]&lt;=60, "30 to 60 mins", calls[[#This Row],[Duration]]&lt;=120, "1 to 2 hours", TRUE, "More than 2 hours")</f>
        <v>More than 2 hours</v>
      </c>
      <c r="O499">
        <f>ROUND(calls[[#This Row],[Satisfaction Rating]],0)</f>
        <v>4</v>
      </c>
    </row>
    <row r="500" spans="2:15" x14ac:dyDescent="0.25">
      <c r="B500" t="s">
        <v>521</v>
      </c>
      <c r="C500" t="s">
        <v>4</v>
      </c>
      <c r="D500">
        <f>VLOOKUP(C500,customers[],3,0)</f>
        <v>42</v>
      </c>
      <c r="E500" t="str">
        <f>VLOOKUP(C500,customers[],2,0)</f>
        <v>Female</v>
      </c>
      <c r="F500" t="str">
        <f>VLOOKUP(C500,customers[],4,0)</f>
        <v>Cleveland</v>
      </c>
      <c r="G500">
        <v>148</v>
      </c>
      <c r="H500" s="17" t="s">
        <v>5</v>
      </c>
      <c r="I500" s="18">
        <v>45071</v>
      </c>
      <c r="J500">
        <v>36</v>
      </c>
      <c r="K500">
        <v>2.9</v>
      </c>
      <c r="L500">
        <f>IF(MONTH(calls[[#This Row],[Date of Call]])&lt;=6, YEAR(calls[[#This Row],[Date of Call]]), YEAR(calls[[#This Row],[Date of Call]])+1)</f>
        <v>2023</v>
      </c>
      <c r="M500" t="str">
        <f>TEXT(calls[[#This Row],[Date of Call]],"DDDD")</f>
        <v>الخميس</v>
      </c>
      <c r="N500" t="str" cm="1">
        <f t="array" ref="N500">_xlfn.IFS(calls[[#This Row],[Duration]]&lt;=10,"Under 10 mins", calls[[#This Row],[Duration]]&lt;=30, "10 to 30 mins", calls[[#This Row],[Duration]]&lt;=60, "30 to 60 mins", calls[[#This Row],[Duration]]&lt;=120, "1 to 2 hours", TRUE, "More than 2 hours")</f>
        <v>More than 2 hours</v>
      </c>
      <c r="O500">
        <f>ROUND(calls[[#This Row],[Satisfaction Rating]],0)</f>
        <v>3</v>
      </c>
    </row>
    <row r="501" spans="2:15" x14ac:dyDescent="0.25">
      <c r="B501" t="s">
        <v>522</v>
      </c>
      <c r="C501" t="s">
        <v>13</v>
      </c>
      <c r="D501">
        <f>VLOOKUP(C501,customers[],3,0)</f>
        <v>37</v>
      </c>
      <c r="E501" t="str">
        <f>VLOOKUP(C501,customers[],2,0)</f>
        <v>Female</v>
      </c>
      <c r="F501" t="str">
        <f>VLOOKUP(C501,customers[],4,0)</f>
        <v>Cleveland</v>
      </c>
      <c r="G501">
        <v>81</v>
      </c>
      <c r="H501" s="17" t="s">
        <v>5</v>
      </c>
      <c r="I501" s="18">
        <v>45071</v>
      </c>
      <c r="J501">
        <v>116</v>
      </c>
      <c r="K501">
        <v>4.3</v>
      </c>
      <c r="L501">
        <f>IF(MONTH(calls[[#This Row],[Date of Call]])&lt;=6, YEAR(calls[[#This Row],[Date of Call]]), YEAR(calls[[#This Row],[Date of Call]])+1)</f>
        <v>2023</v>
      </c>
      <c r="M501" t="str">
        <f>TEXT(calls[[#This Row],[Date of Call]],"DDDD")</f>
        <v>الخميس</v>
      </c>
      <c r="N501" t="str" cm="1">
        <f t="array" ref="N501">_xlfn.IFS(calls[[#This Row],[Duration]]&lt;=10,"Under 10 mins", calls[[#This Row],[Duration]]&lt;=30, "10 to 30 mins", calls[[#This Row],[Duration]]&lt;=60, "30 to 60 mins", calls[[#This Row],[Duration]]&lt;=120, "1 to 2 hours", TRUE, "More than 2 hours")</f>
        <v>1 to 2 hours</v>
      </c>
      <c r="O501">
        <f>ROUND(calls[[#This Row],[Satisfaction Rating]],0)</f>
        <v>4</v>
      </c>
    </row>
    <row r="502" spans="2:15" x14ac:dyDescent="0.25">
      <c r="B502" t="s">
        <v>523</v>
      </c>
      <c r="C502" t="s">
        <v>21</v>
      </c>
      <c r="D502">
        <f>VLOOKUP(C502,customers[],3,0)</f>
        <v>25</v>
      </c>
      <c r="E502" t="str">
        <f>VLOOKUP(C502,customers[],2,0)</f>
        <v>Female</v>
      </c>
      <c r="F502" t="str">
        <f>VLOOKUP(C502,customers[],4,0)</f>
        <v>Columbus</v>
      </c>
      <c r="G502">
        <v>115</v>
      </c>
      <c r="H502" s="17" t="s">
        <v>5</v>
      </c>
      <c r="I502" s="18">
        <v>45071</v>
      </c>
      <c r="J502">
        <v>40</v>
      </c>
      <c r="K502">
        <v>4.9000000000000004</v>
      </c>
      <c r="L502">
        <f>IF(MONTH(calls[[#This Row],[Date of Call]])&lt;=6, YEAR(calls[[#This Row],[Date of Call]]), YEAR(calls[[#This Row],[Date of Call]])+1)</f>
        <v>2023</v>
      </c>
      <c r="M502" t="str">
        <f>TEXT(calls[[#This Row],[Date of Call]],"DDDD")</f>
        <v>الخميس</v>
      </c>
      <c r="N502" t="str" cm="1">
        <f t="array" ref="N502">_xlfn.IFS(calls[[#This Row],[Duration]]&lt;=10,"Under 10 mins", calls[[#This Row],[Duration]]&lt;=30, "10 to 30 mins", calls[[#This Row],[Duration]]&lt;=60, "30 to 60 mins", calls[[#This Row],[Duration]]&lt;=120, "1 to 2 hours", TRUE, "More than 2 hours")</f>
        <v>1 to 2 hours</v>
      </c>
      <c r="O502">
        <f>ROUND(calls[[#This Row],[Satisfaction Rating]],0)</f>
        <v>5</v>
      </c>
    </row>
    <row r="503" spans="2:15" x14ac:dyDescent="0.25">
      <c r="B503" t="s">
        <v>524</v>
      </c>
      <c r="C503" t="s">
        <v>21</v>
      </c>
      <c r="D503">
        <f>VLOOKUP(C503,customers[],3,0)</f>
        <v>25</v>
      </c>
      <c r="E503" t="str">
        <f>VLOOKUP(C503,customers[],2,0)</f>
        <v>Female</v>
      </c>
      <c r="F503" t="str">
        <f>VLOOKUP(C503,customers[],4,0)</f>
        <v>Columbus</v>
      </c>
      <c r="G503">
        <v>117</v>
      </c>
      <c r="H503" s="17" t="s">
        <v>12</v>
      </c>
      <c r="I503" s="18">
        <v>45071</v>
      </c>
      <c r="J503">
        <v>40</v>
      </c>
      <c r="K503">
        <v>4</v>
      </c>
      <c r="L503">
        <f>IF(MONTH(calls[[#This Row],[Date of Call]])&lt;=6, YEAR(calls[[#This Row],[Date of Call]]), YEAR(calls[[#This Row],[Date of Call]])+1)</f>
        <v>2023</v>
      </c>
      <c r="M503" t="str">
        <f>TEXT(calls[[#This Row],[Date of Call]],"DDDD")</f>
        <v>الخميس</v>
      </c>
      <c r="N503" t="str" cm="1">
        <f t="array" ref="N503">_xlfn.IFS(calls[[#This Row],[Duration]]&lt;=10,"Under 10 mins", calls[[#This Row],[Duration]]&lt;=30, "10 to 30 mins", calls[[#This Row],[Duration]]&lt;=60, "30 to 60 mins", calls[[#This Row],[Duration]]&lt;=120, "1 to 2 hours", TRUE, "More than 2 hours")</f>
        <v>1 to 2 hours</v>
      </c>
      <c r="O503">
        <f>ROUND(calls[[#This Row],[Satisfaction Rating]],0)</f>
        <v>4</v>
      </c>
    </row>
    <row r="504" spans="2:15" x14ac:dyDescent="0.25">
      <c r="B504" t="s">
        <v>525</v>
      </c>
      <c r="C504" t="s">
        <v>16</v>
      </c>
      <c r="D504">
        <f>VLOOKUP(C504,customers[],3,0)</f>
        <v>41</v>
      </c>
      <c r="E504" t="str">
        <f>VLOOKUP(C504,customers[],2,0)</f>
        <v>Male</v>
      </c>
      <c r="F504" t="str">
        <f>VLOOKUP(C504,customers[],4,0)</f>
        <v>Columbus</v>
      </c>
      <c r="G504">
        <v>110</v>
      </c>
      <c r="H504" s="17" t="s">
        <v>10</v>
      </c>
      <c r="I504" s="18">
        <v>45072</v>
      </c>
      <c r="J504">
        <v>82</v>
      </c>
      <c r="K504">
        <v>4</v>
      </c>
      <c r="L504">
        <f>IF(MONTH(calls[[#This Row],[Date of Call]])&lt;=6, YEAR(calls[[#This Row],[Date of Call]]), YEAR(calls[[#This Row],[Date of Call]])+1)</f>
        <v>2023</v>
      </c>
      <c r="M504" t="str">
        <f>TEXT(calls[[#This Row],[Date of Call]],"DDDD")</f>
        <v>الجمعة</v>
      </c>
      <c r="N504" t="str" cm="1">
        <f t="array" ref="N504">_xlfn.IFS(calls[[#This Row],[Duration]]&lt;=10,"Under 10 mins", calls[[#This Row],[Duration]]&lt;=30, "10 to 30 mins", calls[[#This Row],[Duration]]&lt;=60, "30 to 60 mins", calls[[#This Row],[Duration]]&lt;=120, "1 to 2 hours", TRUE, "More than 2 hours")</f>
        <v>1 to 2 hours</v>
      </c>
      <c r="O504">
        <f>ROUND(calls[[#This Row],[Satisfaction Rating]],0)</f>
        <v>4</v>
      </c>
    </row>
    <row r="505" spans="2:15" x14ac:dyDescent="0.25">
      <c r="B505" t="s">
        <v>526</v>
      </c>
      <c r="C505" t="s">
        <v>23</v>
      </c>
      <c r="D505">
        <f>VLOOKUP(C505,customers[],3,0)</f>
        <v>31</v>
      </c>
      <c r="E505" t="str">
        <f>VLOOKUP(C505,customers[],2,0)</f>
        <v>Male</v>
      </c>
      <c r="F505" t="str">
        <f>VLOOKUP(C505,customers[],4,0)</f>
        <v>Cleveland</v>
      </c>
      <c r="G505">
        <v>103</v>
      </c>
      <c r="H505" s="17" t="s">
        <v>9</v>
      </c>
      <c r="I505" s="18">
        <v>45072</v>
      </c>
      <c r="J505">
        <v>62</v>
      </c>
      <c r="K505">
        <v>3.4</v>
      </c>
      <c r="L505">
        <f>IF(MONTH(calls[[#This Row],[Date of Call]])&lt;=6, YEAR(calls[[#This Row],[Date of Call]]), YEAR(calls[[#This Row],[Date of Call]])+1)</f>
        <v>2023</v>
      </c>
      <c r="M505" t="str">
        <f>TEXT(calls[[#This Row],[Date of Call]],"DDDD")</f>
        <v>الجمعة</v>
      </c>
      <c r="N505" t="str" cm="1">
        <f t="array" ref="N505">_xlfn.IFS(calls[[#This Row],[Duration]]&lt;=10,"Under 10 mins", calls[[#This Row],[Duration]]&lt;=30, "10 to 30 mins", calls[[#This Row],[Duration]]&lt;=60, "30 to 60 mins", calls[[#This Row],[Duration]]&lt;=120, "1 to 2 hours", TRUE, "More than 2 hours")</f>
        <v>1 to 2 hours</v>
      </c>
      <c r="O505">
        <f>ROUND(calls[[#This Row],[Satisfaction Rating]],0)</f>
        <v>3</v>
      </c>
    </row>
    <row r="506" spans="2:15" x14ac:dyDescent="0.25">
      <c r="B506" t="s">
        <v>527</v>
      </c>
      <c r="C506" t="s">
        <v>20</v>
      </c>
      <c r="D506">
        <f>VLOOKUP(C506,customers[],3,0)</f>
        <v>38</v>
      </c>
      <c r="E506" t="str">
        <f>VLOOKUP(C506,customers[],2,0)</f>
        <v>Female</v>
      </c>
      <c r="F506" t="str">
        <f>VLOOKUP(C506,customers[],4,0)</f>
        <v>Columbus</v>
      </c>
      <c r="G506">
        <v>45</v>
      </c>
      <c r="H506" s="17" t="s">
        <v>9</v>
      </c>
      <c r="I506" s="18">
        <v>45072</v>
      </c>
      <c r="J506">
        <v>135</v>
      </c>
      <c r="K506">
        <v>3.9</v>
      </c>
      <c r="L506">
        <f>IF(MONTH(calls[[#This Row],[Date of Call]])&lt;=6, YEAR(calls[[#This Row],[Date of Call]]), YEAR(calls[[#This Row],[Date of Call]])+1)</f>
        <v>2023</v>
      </c>
      <c r="M506" t="str">
        <f>TEXT(calls[[#This Row],[Date of Call]],"DDDD")</f>
        <v>الجمعة</v>
      </c>
      <c r="N506" t="str" cm="1">
        <f t="array" ref="N506">_xlfn.IFS(calls[[#This Row],[Duration]]&lt;=10,"Under 10 mins", calls[[#This Row],[Duration]]&lt;=30, "10 to 30 mins", calls[[#This Row],[Duration]]&lt;=60, "30 to 60 mins", calls[[#This Row],[Duration]]&lt;=120, "1 to 2 hours", TRUE, "More than 2 hours")</f>
        <v>30 to 60 mins</v>
      </c>
      <c r="O506">
        <f>ROUND(calls[[#This Row],[Satisfaction Rating]],0)</f>
        <v>4</v>
      </c>
    </row>
    <row r="507" spans="2:15" x14ac:dyDescent="0.25">
      <c r="B507" t="s">
        <v>528</v>
      </c>
      <c r="C507" t="s">
        <v>16</v>
      </c>
      <c r="D507">
        <f>VLOOKUP(C507,customers[],3,0)</f>
        <v>41</v>
      </c>
      <c r="E507" t="str">
        <f>VLOOKUP(C507,customers[],2,0)</f>
        <v>Male</v>
      </c>
      <c r="F507" t="str">
        <f>VLOOKUP(C507,customers[],4,0)</f>
        <v>Columbus</v>
      </c>
      <c r="G507">
        <v>110</v>
      </c>
      <c r="H507" s="17" t="s">
        <v>8</v>
      </c>
      <c r="I507" s="18">
        <v>45072</v>
      </c>
      <c r="J507">
        <v>155</v>
      </c>
      <c r="K507">
        <v>2.1</v>
      </c>
      <c r="L507">
        <f>IF(MONTH(calls[[#This Row],[Date of Call]])&lt;=6, YEAR(calls[[#This Row],[Date of Call]]), YEAR(calls[[#This Row],[Date of Call]])+1)</f>
        <v>2023</v>
      </c>
      <c r="M507" t="str">
        <f>TEXT(calls[[#This Row],[Date of Call]],"DDDD")</f>
        <v>الجمعة</v>
      </c>
      <c r="N507" t="str" cm="1">
        <f t="array" ref="N507">_xlfn.IFS(calls[[#This Row],[Duration]]&lt;=10,"Under 10 mins", calls[[#This Row],[Duration]]&lt;=30, "10 to 30 mins", calls[[#This Row],[Duration]]&lt;=60, "30 to 60 mins", calls[[#This Row],[Duration]]&lt;=120, "1 to 2 hours", TRUE, "More than 2 hours")</f>
        <v>1 to 2 hours</v>
      </c>
      <c r="O507">
        <f>ROUND(calls[[#This Row],[Satisfaction Rating]],0)</f>
        <v>2</v>
      </c>
    </row>
    <row r="508" spans="2:15" x14ac:dyDescent="0.25">
      <c r="B508" t="s">
        <v>529</v>
      </c>
      <c r="C508" t="s">
        <v>17</v>
      </c>
      <c r="D508">
        <f>VLOOKUP(C508,customers[],3,0)</f>
        <v>30</v>
      </c>
      <c r="E508" t="str">
        <f>VLOOKUP(C508,customers[],2,0)</f>
        <v>Female</v>
      </c>
      <c r="F508" t="str">
        <f>VLOOKUP(C508,customers[],4,0)</f>
        <v>Cleveland</v>
      </c>
      <c r="G508">
        <v>43</v>
      </c>
      <c r="H508" s="17" t="s">
        <v>10</v>
      </c>
      <c r="I508" s="18">
        <v>45072</v>
      </c>
      <c r="J508">
        <v>37</v>
      </c>
      <c r="K508">
        <v>4.9000000000000004</v>
      </c>
      <c r="L508">
        <f>IF(MONTH(calls[[#This Row],[Date of Call]])&lt;=6, YEAR(calls[[#This Row],[Date of Call]]), YEAR(calls[[#This Row],[Date of Call]])+1)</f>
        <v>2023</v>
      </c>
      <c r="M508" t="str">
        <f>TEXT(calls[[#This Row],[Date of Call]],"DDDD")</f>
        <v>الجمعة</v>
      </c>
      <c r="N508" t="str" cm="1">
        <f t="array" ref="N508">_xlfn.IFS(calls[[#This Row],[Duration]]&lt;=10,"Under 10 mins", calls[[#This Row],[Duration]]&lt;=30, "10 to 30 mins", calls[[#This Row],[Duration]]&lt;=60, "30 to 60 mins", calls[[#This Row],[Duration]]&lt;=120, "1 to 2 hours", TRUE, "More than 2 hours")</f>
        <v>30 to 60 mins</v>
      </c>
      <c r="O508">
        <f>ROUND(calls[[#This Row],[Satisfaction Rating]],0)</f>
        <v>5</v>
      </c>
    </row>
    <row r="509" spans="2:15" x14ac:dyDescent="0.25">
      <c r="B509" t="s">
        <v>530</v>
      </c>
      <c r="C509" t="s">
        <v>16</v>
      </c>
      <c r="D509">
        <f>VLOOKUP(C509,customers[],3,0)</f>
        <v>41</v>
      </c>
      <c r="E509" t="str">
        <f>VLOOKUP(C509,customers[],2,0)</f>
        <v>Male</v>
      </c>
      <c r="F509" t="str">
        <f>VLOOKUP(C509,customers[],4,0)</f>
        <v>Columbus</v>
      </c>
      <c r="G509">
        <v>104</v>
      </c>
      <c r="H509" s="17" t="s">
        <v>12</v>
      </c>
      <c r="I509" s="18">
        <v>45073</v>
      </c>
      <c r="J509">
        <v>56</v>
      </c>
      <c r="K509">
        <v>3.4</v>
      </c>
      <c r="L509">
        <f>IF(MONTH(calls[[#This Row],[Date of Call]])&lt;=6, YEAR(calls[[#This Row],[Date of Call]]), YEAR(calls[[#This Row],[Date of Call]])+1)</f>
        <v>2023</v>
      </c>
      <c r="M509" t="str">
        <f>TEXT(calls[[#This Row],[Date of Call]],"DDDD")</f>
        <v>السبت</v>
      </c>
      <c r="N509" t="str" cm="1">
        <f t="array" ref="N509">_xlfn.IFS(calls[[#This Row],[Duration]]&lt;=10,"Under 10 mins", calls[[#This Row],[Duration]]&lt;=30, "10 to 30 mins", calls[[#This Row],[Duration]]&lt;=60, "30 to 60 mins", calls[[#This Row],[Duration]]&lt;=120, "1 to 2 hours", TRUE, "More than 2 hours")</f>
        <v>1 to 2 hours</v>
      </c>
      <c r="O509">
        <f>ROUND(calls[[#This Row],[Satisfaction Rating]],0)</f>
        <v>3</v>
      </c>
    </row>
    <row r="510" spans="2:15" x14ac:dyDescent="0.25">
      <c r="B510" t="s">
        <v>531</v>
      </c>
      <c r="C510" t="s">
        <v>16</v>
      </c>
      <c r="D510">
        <f>VLOOKUP(C510,customers[],3,0)</f>
        <v>41</v>
      </c>
      <c r="E510" t="str">
        <f>VLOOKUP(C510,customers[],2,0)</f>
        <v>Male</v>
      </c>
      <c r="F510" t="str">
        <f>VLOOKUP(C510,customers[],4,0)</f>
        <v>Columbus</v>
      </c>
      <c r="G510">
        <v>101</v>
      </c>
      <c r="H510" s="17" t="s">
        <v>12</v>
      </c>
      <c r="I510" s="18">
        <v>45073</v>
      </c>
      <c r="J510">
        <v>185</v>
      </c>
      <c r="K510">
        <v>5</v>
      </c>
      <c r="L510">
        <f>IF(MONTH(calls[[#This Row],[Date of Call]])&lt;=6, YEAR(calls[[#This Row],[Date of Call]]), YEAR(calls[[#This Row],[Date of Call]])+1)</f>
        <v>2023</v>
      </c>
      <c r="M510" t="str">
        <f>TEXT(calls[[#This Row],[Date of Call]],"DDDD")</f>
        <v>السبت</v>
      </c>
      <c r="N510" t="str" cm="1">
        <f t="array" ref="N510">_xlfn.IFS(calls[[#This Row],[Duration]]&lt;=10,"Under 10 mins", calls[[#This Row],[Duration]]&lt;=30, "10 to 30 mins", calls[[#This Row],[Duration]]&lt;=60, "30 to 60 mins", calls[[#This Row],[Duration]]&lt;=120, "1 to 2 hours", TRUE, "More than 2 hours")</f>
        <v>1 to 2 hours</v>
      </c>
      <c r="O510">
        <f>ROUND(calls[[#This Row],[Satisfaction Rating]],0)</f>
        <v>5</v>
      </c>
    </row>
    <row r="511" spans="2:15" x14ac:dyDescent="0.25">
      <c r="B511" t="s">
        <v>532</v>
      </c>
      <c r="C511" t="s">
        <v>19</v>
      </c>
      <c r="D511">
        <f>VLOOKUP(C511,customers[],3,0)</f>
        <v>26</v>
      </c>
      <c r="E511" t="str">
        <f>VLOOKUP(C511,customers[],2,0)</f>
        <v>Male</v>
      </c>
      <c r="F511" t="str">
        <f>VLOOKUP(C511,customers[],4,0)</f>
        <v>Cincinnati</v>
      </c>
      <c r="G511">
        <v>55</v>
      </c>
      <c r="H511" s="17" t="s">
        <v>10</v>
      </c>
      <c r="I511" s="18">
        <v>45074</v>
      </c>
      <c r="J511">
        <v>145</v>
      </c>
      <c r="K511">
        <v>4.5</v>
      </c>
      <c r="L511">
        <f>IF(MONTH(calls[[#This Row],[Date of Call]])&lt;=6, YEAR(calls[[#This Row],[Date of Call]]), YEAR(calls[[#This Row],[Date of Call]])+1)</f>
        <v>2023</v>
      </c>
      <c r="M511" t="str">
        <f>TEXT(calls[[#This Row],[Date of Call]],"DDDD")</f>
        <v>الأحد</v>
      </c>
      <c r="N511" t="str" cm="1">
        <f t="array" ref="N511">_xlfn.IFS(calls[[#This Row],[Duration]]&lt;=10,"Under 10 mins", calls[[#This Row],[Duration]]&lt;=30, "10 to 30 mins", calls[[#This Row],[Duration]]&lt;=60, "30 to 60 mins", calls[[#This Row],[Duration]]&lt;=120, "1 to 2 hours", TRUE, "More than 2 hours")</f>
        <v>30 to 60 mins</v>
      </c>
      <c r="O511">
        <f>ROUND(calls[[#This Row],[Satisfaction Rating]],0)</f>
        <v>5</v>
      </c>
    </row>
    <row r="512" spans="2:15" x14ac:dyDescent="0.25">
      <c r="B512" t="s">
        <v>533</v>
      </c>
      <c r="C512" t="s">
        <v>13</v>
      </c>
      <c r="D512">
        <f>VLOOKUP(C512,customers[],3,0)</f>
        <v>37</v>
      </c>
      <c r="E512" t="str">
        <f>VLOOKUP(C512,customers[],2,0)</f>
        <v>Female</v>
      </c>
      <c r="F512" t="str">
        <f>VLOOKUP(C512,customers[],4,0)</f>
        <v>Cleveland</v>
      </c>
      <c r="G512">
        <v>40</v>
      </c>
      <c r="H512" s="17" t="s">
        <v>9</v>
      </c>
      <c r="I512" s="18">
        <v>45074</v>
      </c>
      <c r="J512">
        <v>116</v>
      </c>
      <c r="K512">
        <v>2.6</v>
      </c>
      <c r="L512">
        <f>IF(MONTH(calls[[#This Row],[Date of Call]])&lt;=6, YEAR(calls[[#This Row],[Date of Call]]), YEAR(calls[[#This Row],[Date of Call]])+1)</f>
        <v>2023</v>
      </c>
      <c r="M512" t="str">
        <f>TEXT(calls[[#This Row],[Date of Call]],"DDDD")</f>
        <v>الأحد</v>
      </c>
      <c r="N512" t="str" cm="1">
        <f t="array" ref="N512">_xlfn.IFS(calls[[#This Row],[Duration]]&lt;=10,"Under 10 mins", calls[[#This Row],[Duration]]&lt;=30, "10 to 30 mins", calls[[#This Row],[Duration]]&lt;=60, "30 to 60 mins", calls[[#This Row],[Duration]]&lt;=120, "1 to 2 hours", TRUE, "More than 2 hours")</f>
        <v>30 to 60 mins</v>
      </c>
      <c r="O512">
        <f>ROUND(calls[[#This Row],[Satisfaction Rating]],0)</f>
        <v>3</v>
      </c>
    </row>
    <row r="513" spans="2:15" x14ac:dyDescent="0.25">
      <c r="B513" t="s">
        <v>534</v>
      </c>
      <c r="C513" t="s">
        <v>17</v>
      </c>
      <c r="D513">
        <f>VLOOKUP(C513,customers[],3,0)</f>
        <v>30</v>
      </c>
      <c r="E513" t="str">
        <f>VLOOKUP(C513,customers[],2,0)</f>
        <v>Female</v>
      </c>
      <c r="F513" t="str">
        <f>VLOOKUP(C513,customers[],4,0)</f>
        <v>Cleveland</v>
      </c>
      <c r="G513">
        <v>122</v>
      </c>
      <c r="H513" s="17" t="s">
        <v>5</v>
      </c>
      <c r="I513" s="18">
        <v>45074</v>
      </c>
      <c r="J513">
        <v>45</v>
      </c>
      <c r="K513">
        <v>4.2</v>
      </c>
      <c r="L513">
        <f>IF(MONTH(calls[[#This Row],[Date of Call]])&lt;=6, YEAR(calls[[#This Row],[Date of Call]]), YEAR(calls[[#This Row],[Date of Call]])+1)</f>
        <v>2023</v>
      </c>
      <c r="M513" t="str">
        <f>TEXT(calls[[#This Row],[Date of Call]],"DDDD")</f>
        <v>الأحد</v>
      </c>
      <c r="N513" t="str" cm="1">
        <f t="array" ref="N513">_xlfn.IFS(calls[[#This Row],[Duration]]&lt;=10,"Under 10 mins", calls[[#This Row],[Duration]]&lt;=30, "10 to 30 mins", calls[[#This Row],[Duration]]&lt;=60, "30 to 60 mins", calls[[#This Row],[Duration]]&lt;=120, "1 to 2 hours", TRUE, "More than 2 hours")</f>
        <v>More than 2 hours</v>
      </c>
      <c r="O513">
        <f>ROUND(calls[[#This Row],[Satisfaction Rating]],0)</f>
        <v>4</v>
      </c>
    </row>
    <row r="514" spans="2:15" x14ac:dyDescent="0.25">
      <c r="B514" t="s">
        <v>535</v>
      </c>
      <c r="C514" t="s">
        <v>7</v>
      </c>
      <c r="D514">
        <f>VLOOKUP(C514,customers[],3,0)</f>
        <v>30</v>
      </c>
      <c r="E514" t="str">
        <f>VLOOKUP(C514,customers[],2,0)</f>
        <v>Female</v>
      </c>
      <c r="F514" t="str">
        <f>VLOOKUP(C514,customers[],4,0)</f>
        <v>Cincinnati</v>
      </c>
      <c r="G514">
        <v>98</v>
      </c>
      <c r="H514" s="17" t="s">
        <v>12</v>
      </c>
      <c r="I514" s="18">
        <v>45075</v>
      </c>
      <c r="J514">
        <v>35</v>
      </c>
      <c r="K514">
        <v>4.5</v>
      </c>
      <c r="L514">
        <f>IF(MONTH(calls[[#This Row],[Date of Call]])&lt;=6, YEAR(calls[[#This Row],[Date of Call]]), YEAR(calls[[#This Row],[Date of Call]])+1)</f>
        <v>2023</v>
      </c>
      <c r="M514" t="str">
        <f>TEXT(calls[[#This Row],[Date of Call]],"DDDD")</f>
        <v>الإثنين</v>
      </c>
      <c r="N514" t="str" cm="1">
        <f t="array" ref="N514">_xlfn.IFS(calls[[#This Row],[Duration]]&lt;=10,"Under 10 mins", calls[[#This Row],[Duration]]&lt;=30, "10 to 30 mins", calls[[#This Row],[Duration]]&lt;=60, "30 to 60 mins", calls[[#This Row],[Duration]]&lt;=120, "1 to 2 hours", TRUE, "More than 2 hours")</f>
        <v>1 to 2 hours</v>
      </c>
      <c r="O514">
        <f>ROUND(calls[[#This Row],[Satisfaction Rating]],0)</f>
        <v>5</v>
      </c>
    </row>
    <row r="515" spans="2:15" x14ac:dyDescent="0.25">
      <c r="B515" t="s">
        <v>536</v>
      </c>
      <c r="C515" t="s">
        <v>21</v>
      </c>
      <c r="D515">
        <f>VLOOKUP(C515,customers[],3,0)</f>
        <v>25</v>
      </c>
      <c r="E515" t="str">
        <f>VLOOKUP(C515,customers[],2,0)</f>
        <v>Female</v>
      </c>
      <c r="F515" t="str">
        <f>VLOOKUP(C515,customers[],4,0)</f>
        <v>Columbus</v>
      </c>
      <c r="G515">
        <v>110</v>
      </c>
      <c r="H515" s="17" t="s">
        <v>9</v>
      </c>
      <c r="I515" s="18">
        <v>45075</v>
      </c>
      <c r="J515">
        <v>100</v>
      </c>
      <c r="K515">
        <v>4.4000000000000004</v>
      </c>
      <c r="L515">
        <f>IF(MONTH(calls[[#This Row],[Date of Call]])&lt;=6, YEAR(calls[[#This Row],[Date of Call]]), YEAR(calls[[#This Row],[Date of Call]])+1)</f>
        <v>2023</v>
      </c>
      <c r="M515" t="str">
        <f>TEXT(calls[[#This Row],[Date of Call]],"DDDD")</f>
        <v>الإثنين</v>
      </c>
      <c r="N515" t="str" cm="1">
        <f t="array" ref="N515">_xlfn.IFS(calls[[#This Row],[Duration]]&lt;=10,"Under 10 mins", calls[[#This Row],[Duration]]&lt;=30, "10 to 30 mins", calls[[#This Row],[Duration]]&lt;=60, "30 to 60 mins", calls[[#This Row],[Duration]]&lt;=120, "1 to 2 hours", TRUE, "More than 2 hours")</f>
        <v>1 to 2 hours</v>
      </c>
      <c r="O515">
        <f>ROUND(calls[[#This Row],[Satisfaction Rating]],0)</f>
        <v>4</v>
      </c>
    </row>
    <row r="516" spans="2:15" x14ac:dyDescent="0.25">
      <c r="B516" t="s">
        <v>537</v>
      </c>
      <c r="C516" t="s">
        <v>21</v>
      </c>
      <c r="D516">
        <f>VLOOKUP(C516,customers[],3,0)</f>
        <v>25</v>
      </c>
      <c r="E516" t="str">
        <f>VLOOKUP(C516,customers[],2,0)</f>
        <v>Female</v>
      </c>
      <c r="F516" t="str">
        <f>VLOOKUP(C516,customers[],4,0)</f>
        <v>Columbus</v>
      </c>
      <c r="G516">
        <v>62</v>
      </c>
      <c r="H516" s="17" t="s">
        <v>10</v>
      </c>
      <c r="I516" s="18">
        <v>45076</v>
      </c>
      <c r="J516">
        <v>125</v>
      </c>
      <c r="K516">
        <v>3.5</v>
      </c>
      <c r="L516">
        <f>IF(MONTH(calls[[#This Row],[Date of Call]])&lt;=6, YEAR(calls[[#This Row],[Date of Call]]), YEAR(calls[[#This Row],[Date of Call]])+1)</f>
        <v>2023</v>
      </c>
      <c r="M516" t="str">
        <f>TEXT(calls[[#This Row],[Date of Call]],"DDDD")</f>
        <v>الثلاثاء</v>
      </c>
      <c r="N516" t="str" cm="1">
        <f t="array" ref="N516">_xlfn.IFS(calls[[#This Row],[Duration]]&lt;=10,"Under 10 mins", calls[[#This Row],[Duration]]&lt;=30, "10 to 30 mins", calls[[#This Row],[Duration]]&lt;=60, "30 to 60 mins", calls[[#This Row],[Duration]]&lt;=120, "1 to 2 hours", TRUE, "More than 2 hours")</f>
        <v>1 to 2 hours</v>
      </c>
      <c r="O516">
        <f>ROUND(calls[[#This Row],[Satisfaction Rating]],0)</f>
        <v>4</v>
      </c>
    </row>
    <row r="517" spans="2:15" x14ac:dyDescent="0.25">
      <c r="B517" t="s">
        <v>538</v>
      </c>
      <c r="C517" t="s">
        <v>17</v>
      </c>
      <c r="D517">
        <f>VLOOKUP(C517,customers[],3,0)</f>
        <v>30</v>
      </c>
      <c r="E517" t="str">
        <f>VLOOKUP(C517,customers[],2,0)</f>
        <v>Female</v>
      </c>
      <c r="F517" t="str">
        <f>VLOOKUP(C517,customers[],4,0)</f>
        <v>Cleveland</v>
      </c>
      <c r="G517">
        <v>134</v>
      </c>
      <c r="H517" s="17" t="s">
        <v>5</v>
      </c>
      <c r="I517" s="18">
        <v>45076</v>
      </c>
      <c r="J517">
        <v>120</v>
      </c>
      <c r="K517">
        <v>3</v>
      </c>
      <c r="L517">
        <f>IF(MONTH(calls[[#This Row],[Date of Call]])&lt;=6, YEAR(calls[[#This Row],[Date of Call]]), YEAR(calls[[#This Row],[Date of Call]])+1)</f>
        <v>2023</v>
      </c>
      <c r="M517" t="str">
        <f>TEXT(calls[[#This Row],[Date of Call]],"DDDD")</f>
        <v>الثلاثاء</v>
      </c>
      <c r="N517" t="str" cm="1">
        <f t="array" ref="N517">_xlfn.IFS(calls[[#This Row],[Duration]]&lt;=10,"Under 10 mins", calls[[#This Row],[Duration]]&lt;=30, "10 to 30 mins", calls[[#This Row],[Duration]]&lt;=60, "30 to 60 mins", calls[[#This Row],[Duration]]&lt;=120, "1 to 2 hours", TRUE, "More than 2 hours")</f>
        <v>More than 2 hours</v>
      </c>
      <c r="O517">
        <f>ROUND(calls[[#This Row],[Satisfaction Rating]],0)</f>
        <v>3</v>
      </c>
    </row>
    <row r="518" spans="2:15" x14ac:dyDescent="0.25">
      <c r="B518" t="s">
        <v>539</v>
      </c>
      <c r="C518" t="s">
        <v>18</v>
      </c>
      <c r="D518">
        <f>VLOOKUP(C518,customers[],3,0)</f>
        <v>43</v>
      </c>
      <c r="E518" t="str">
        <f>VLOOKUP(C518,customers[],2,0)</f>
        <v>Female</v>
      </c>
      <c r="F518" t="str">
        <f>VLOOKUP(C518,customers[],4,0)</f>
        <v>Cleveland</v>
      </c>
      <c r="G518">
        <v>94</v>
      </c>
      <c r="H518" s="17" t="s">
        <v>8</v>
      </c>
      <c r="I518" s="18">
        <v>45076</v>
      </c>
      <c r="J518">
        <v>180</v>
      </c>
      <c r="K518">
        <v>4.7</v>
      </c>
      <c r="L518">
        <f>IF(MONTH(calls[[#This Row],[Date of Call]])&lt;=6, YEAR(calls[[#This Row],[Date of Call]]), YEAR(calls[[#This Row],[Date of Call]])+1)</f>
        <v>2023</v>
      </c>
      <c r="M518" t="str">
        <f>TEXT(calls[[#This Row],[Date of Call]],"DDDD")</f>
        <v>الثلاثاء</v>
      </c>
      <c r="N518" t="str" cm="1">
        <f t="array" ref="N518">_xlfn.IFS(calls[[#This Row],[Duration]]&lt;=10,"Under 10 mins", calls[[#This Row],[Duration]]&lt;=30, "10 to 30 mins", calls[[#This Row],[Duration]]&lt;=60, "30 to 60 mins", calls[[#This Row],[Duration]]&lt;=120, "1 to 2 hours", TRUE, "More than 2 hours")</f>
        <v>1 to 2 hours</v>
      </c>
      <c r="O518">
        <f>ROUND(calls[[#This Row],[Satisfaction Rating]],0)</f>
        <v>5</v>
      </c>
    </row>
    <row r="519" spans="2:15" x14ac:dyDescent="0.25">
      <c r="B519" t="s">
        <v>540</v>
      </c>
      <c r="C519" t="s">
        <v>14</v>
      </c>
      <c r="D519">
        <f>VLOOKUP(C519,customers[],3,0)</f>
        <v>22</v>
      </c>
      <c r="E519" t="str">
        <f>VLOOKUP(C519,customers[],2,0)</f>
        <v>Female</v>
      </c>
      <c r="F519" t="str">
        <f>VLOOKUP(C519,customers[],4,0)</f>
        <v>Cleveland</v>
      </c>
      <c r="G519">
        <v>63</v>
      </c>
      <c r="H519" s="17" t="s">
        <v>9</v>
      </c>
      <c r="I519" s="18">
        <v>45076</v>
      </c>
      <c r="J519">
        <v>44</v>
      </c>
      <c r="K519">
        <v>3</v>
      </c>
      <c r="L519">
        <f>IF(MONTH(calls[[#This Row],[Date of Call]])&lt;=6, YEAR(calls[[#This Row],[Date of Call]]), YEAR(calls[[#This Row],[Date of Call]])+1)</f>
        <v>2023</v>
      </c>
      <c r="M519" t="str">
        <f>TEXT(calls[[#This Row],[Date of Call]],"DDDD")</f>
        <v>الثلاثاء</v>
      </c>
      <c r="N519" t="str" cm="1">
        <f t="array" ref="N519">_xlfn.IFS(calls[[#This Row],[Duration]]&lt;=10,"Under 10 mins", calls[[#This Row],[Duration]]&lt;=30, "10 to 30 mins", calls[[#This Row],[Duration]]&lt;=60, "30 to 60 mins", calls[[#This Row],[Duration]]&lt;=120, "1 to 2 hours", TRUE, "More than 2 hours")</f>
        <v>1 to 2 hours</v>
      </c>
      <c r="O519">
        <f>ROUND(calls[[#This Row],[Satisfaction Rating]],0)</f>
        <v>3</v>
      </c>
    </row>
    <row r="520" spans="2:15" x14ac:dyDescent="0.25">
      <c r="B520" t="s">
        <v>541</v>
      </c>
      <c r="C520" t="s">
        <v>6</v>
      </c>
      <c r="D520">
        <f>VLOOKUP(C520,customers[],3,0)</f>
        <v>23</v>
      </c>
      <c r="E520" t="str">
        <f>VLOOKUP(C520,customers[],2,0)</f>
        <v>Male</v>
      </c>
      <c r="F520" t="str">
        <f>VLOOKUP(C520,customers[],4,0)</f>
        <v>Columbus</v>
      </c>
      <c r="G520">
        <v>95</v>
      </c>
      <c r="H520" s="17" t="s">
        <v>5</v>
      </c>
      <c r="I520" s="18">
        <v>45076</v>
      </c>
      <c r="J520">
        <v>86</v>
      </c>
      <c r="K520">
        <v>3.6</v>
      </c>
      <c r="L520">
        <f>IF(MONTH(calls[[#This Row],[Date of Call]])&lt;=6, YEAR(calls[[#This Row],[Date of Call]]), YEAR(calls[[#This Row],[Date of Call]])+1)</f>
        <v>2023</v>
      </c>
      <c r="M520" t="str">
        <f>TEXT(calls[[#This Row],[Date of Call]],"DDDD")</f>
        <v>الثلاثاء</v>
      </c>
      <c r="N520" t="str" cm="1">
        <f t="array" ref="N520">_xlfn.IFS(calls[[#This Row],[Duration]]&lt;=10,"Under 10 mins", calls[[#This Row],[Duration]]&lt;=30, "10 to 30 mins", calls[[#This Row],[Duration]]&lt;=60, "30 to 60 mins", calls[[#This Row],[Duration]]&lt;=120, "1 to 2 hours", TRUE, "More than 2 hours")</f>
        <v>1 to 2 hours</v>
      </c>
      <c r="O520">
        <f>ROUND(calls[[#This Row],[Satisfaction Rating]],0)</f>
        <v>4</v>
      </c>
    </row>
    <row r="521" spans="2:15" x14ac:dyDescent="0.25">
      <c r="B521" t="s">
        <v>542</v>
      </c>
      <c r="C521" t="s">
        <v>17</v>
      </c>
      <c r="D521">
        <f>VLOOKUP(C521,customers[],3,0)</f>
        <v>30</v>
      </c>
      <c r="E521" t="str">
        <f>VLOOKUP(C521,customers[],2,0)</f>
        <v>Female</v>
      </c>
      <c r="F521" t="str">
        <f>VLOOKUP(C521,customers[],4,0)</f>
        <v>Cleveland</v>
      </c>
      <c r="G521">
        <v>106</v>
      </c>
      <c r="H521" s="17" t="s">
        <v>5</v>
      </c>
      <c r="I521" s="18">
        <v>45077</v>
      </c>
      <c r="J521">
        <v>120</v>
      </c>
      <c r="K521">
        <v>4.0999999999999996</v>
      </c>
      <c r="L521">
        <f>IF(MONTH(calls[[#This Row],[Date of Call]])&lt;=6, YEAR(calls[[#This Row],[Date of Call]]), YEAR(calls[[#This Row],[Date of Call]])+1)</f>
        <v>2023</v>
      </c>
      <c r="M521" t="str">
        <f>TEXT(calls[[#This Row],[Date of Call]],"DDDD")</f>
        <v>الأربعاء</v>
      </c>
      <c r="N521" t="str" cm="1">
        <f t="array" ref="N521">_xlfn.IFS(calls[[#This Row],[Duration]]&lt;=10,"Under 10 mins", calls[[#This Row],[Duration]]&lt;=30, "10 to 30 mins", calls[[#This Row],[Duration]]&lt;=60, "30 to 60 mins", calls[[#This Row],[Duration]]&lt;=120, "1 to 2 hours", TRUE, "More than 2 hours")</f>
        <v>1 to 2 hours</v>
      </c>
      <c r="O521">
        <f>ROUND(calls[[#This Row],[Satisfaction Rating]],0)</f>
        <v>4</v>
      </c>
    </row>
    <row r="522" spans="2:15" x14ac:dyDescent="0.25">
      <c r="B522" t="s">
        <v>543</v>
      </c>
      <c r="C522" t="s">
        <v>20</v>
      </c>
      <c r="D522">
        <f>VLOOKUP(C522,customers[],3,0)</f>
        <v>38</v>
      </c>
      <c r="E522" t="str">
        <f>VLOOKUP(C522,customers[],2,0)</f>
        <v>Female</v>
      </c>
      <c r="F522" t="str">
        <f>VLOOKUP(C522,customers[],4,0)</f>
        <v>Columbus</v>
      </c>
      <c r="G522">
        <v>94</v>
      </c>
      <c r="H522" s="17" t="s">
        <v>8</v>
      </c>
      <c r="I522" s="18">
        <v>45077</v>
      </c>
      <c r="J522">
        <v>100</v>
      </c>
      <c r="K522">
        <v>3.7</v>
      </c>
      <c r="L522">
        <f>IF(MONTH(calls[[#This Row],[Date of Call]])&lt;=6, YEAR(calls[[#This Row],[Date of Call]]), YEAR(calls[[#This Row],[Date of Call]])+1)</f>
        <v>2023</v>
      </c>
      <c r="M522" t="str">
        <f>TEXT(calls[[#This Row],[Date of Call]],"DDDD")</f>
        <v>الأربعاء</v>
      </c>
      <c r="N522" t="str" cm="1">
        <f t="array" ref="N522">_xlfn.IFS(calls[[#This Row],[Duration]]&lt;=10,"Under 10 mins", calls[[#This Row],[Duration]]&lt;=30, "10 to 30 mins", calls[[#This Row],[Duration]]&lt;=60, "30 to 60 mins", calls[[#This Row],[Duration]]&lt;=120, "1 to 2 hours", TRUE, "More than 2 hours")</f>
        <v>1 to 2 hours</v>
      </c>
      <c r="O522">
        <f>ROUND(calls[[#This Row],[Satisfaction Rating]],0)</f>
        <v>4</v>
      </c>
    </row>
    <row r="523" spans="2:15" x14ac:dyDescent="0.25">
      <c r="B523" t="s">
        <v>544</v>
      </c>
      <c r="C523" t="s">
        <v>20</v>
      </c>
      <c r="D523">
        <f>VLOOKUP(C523,customers[],3,0)</f>
        <v>38</v>
      </c>
      <c r="E523" t="str">
        <f>VLOOKUP(C523,customers[],2,0)</f>
        <v>Female</v>
      </c>
      <c r="F523" t="str">
        <f>VLOOKUP(C523,customers[],4,0)</f>
        <v>Columbus</v>
      </c>
      <c r="G523">
        <v>51</v>
      </c>
      <c r="H523" s="17" t="s">
        <v>8</v>
      </c>
      <c r="I523" s="18">
        <v>45078</v>
      </c>
      <c r="J523">
        <v>108</v>
      </c>
      <c r="K523">
        <v>4.5</v>
      </c>
      <c r="L523">
        <f>IF(MONTH(calls[[#This Row],[Date of Call]])&lt;=6, YEAR(calls[[#This Row],[Date of Call]]), YEAR(calls[[#This Row],[Date of Call]])+1)</f>
        <v>2023</v>
      </c>
      <c r="M523" t="str">
        <f>TEXT(calls[[#This Row],[Date of Call]],"DDDD")</f>
        <v>الخميس</v>
      </c>
      <c r="N523" t="str" cm="1">
        <f t="array" ref="N523">_xlfn.IFS(calls[[#This Row],[Duration]]&lt;=10,"Under 10 mins", calls[[#This Row],[Duration]]&lt;=30, "10 to 30 mins", calls[[#This Row],[Duration]]&lt;=60, "30 to 60 mins", calls[[#This Row],[Duration]]&lt;=120, "1 to 2 hours", TRUE, "More than 2 hours")</f>
        <v>30 to 60 mins</v>
      </c>
      <c r="O523">
        <f>ROUND(calls[[#This Row],[Satisfaction Rating]],0)</f>
        <v>5</v>
      </c>
    </row>
    <row r="524" spans="2:15" x14ac:dyDescent="0.25">
      <c r="B524" t="s">
        <v>545</v>
      </c>
      <c r="C524" t="s">
        <v>4</v>
      </c>
      <c r="D524">
        <f>VLOOKUP(C524,customers[],3,0)</f>
        <v>42</v>
      </c>
      <c r="E524" t="str">
        <f>VLOOKUP(C524,customers[],2,0)</f>
        <v>Female</v>
      </c>
      <c r="F524" t="str">
        <f>VLOOKUP(C524,customers[],4,0)</f>
        <v>Cleveland</v>
      </c>
      <c r="G524">
        <v>39</v>
      </c>
      <c r="H524" s="17" t="s">
        <v>8</v>
      </c>
      <c r="I524" s="18">
        <v>45078</v>
      </c>
      <c r="J524">
        <v>46</v>
      </c>
      <c r="K524">
        <v>4.5999999999999996</v>
      </c>
      <c r="L524">
        <f>IF(MONTH(calls[[#This Row],[Date of Call]])&lt;=6, YEAR(calls[[#This Row],[Date of Call]]), YEAR(calls[[#This Row],[Date of Call]])+1)</f>
        <v>2023</v>
      </c>
      <c r="M524" t="str">
        <f>TEXT(calls[[#This Row],[Date of Call]],"DDDD")</f>
        <v>الخميس</v>
      </c>
      <c r="N524" t="str" cm="1">
        <f t="array" ref="N524">_xlfn.IFS(calls[[#This Row],[Duration]]&lt;=10,"Under 10 mins", calls[[#This Row],[Duration]]&lt;=30, "10 to 30 mins", calls[[#This Row],[Duration]]&lt;=60, "30 to 60 mins", calls[[#This Row],[Duration]]&lt;=120, "1 to 2 hours", TRUE, "More than 2 hours")</f>
        <v>30 to 60 mins</v>
      </c>
      <c r="O524">
        <f>ROUND(calls[[#This Row],[Satisfaction Rating]],0)</f>
        <v>5</v>
      </c>
    </row>
    <row r="525" spans="2:15" x14ac:dyDescent="0.25">
      <c r="B525" t="s">
        <v>546</v>
      </c>
      <c r="C525" t="s">
        <v>13</v>
      </c>
      <c r="D525">
        <f>VLOOKUP(C525,customers[],3,0)</f>
        <v>37</v>
      </c>
      <c r="E525" t="str">
        <f>VLOOKUP(C525,customers[],2,0)</f>
        <v>Female</v>
      </c>
      <c r="F525" t="str">
        <f>VLOOKUP(C525,customers[],4,0)</f>
        <v>Cleveland</v>
      </c>
      <c r="G525">
        <v>111</v>
      </c>
      <c r="H525" s="17" t="s">
        <v>5</v>
      </c>
      <c r="I525" s="18">
        <v>45078</v>
      </c>
      <c r="J525">
        <v>210</v>
      </c>
      <c r="K525">
        <v>4.3</v>
      </c>
      <c r="L525">
        <f>IF(MONTH(calls[[#This Row],[Date of Call]])&lt;=6, YEAR(calls[[#This Row],[Date of Call]]), YEAR(calls[[#This Row],[Date of Call]])+1)</f>
        <v>2023</v>
      </c>
      <c r="M525" t="str">
        <f>TEXT(calls[[#This Row],[Date of Call]],"DDDD")</f>
        <v>الخميس</v>
      </c>
      <c r="N525" t="str" cm="1">
        <f t="array" ref="N525">_xlfn.IFS(calls[[#This Row],[Duration]]&lt;=10,"Under 10 mins", calls[[#This Row],[Duration]]&lt;=30, "10 to 30 mins", calls[[#This Row],[Duration]]&lt;=60, "30 to 60 mins", calls[[#This Row],[Duration]]&lt;=120, "1 to 2 hours", TRUE, "More than 2 hours")</f>
        <v>1 to 2 hours</v>
      </c>
      <c r="O525">
        <f>ROUND(calls[[#This Row],[Satisfaction Rating]],0)</f>
        <v>4</v>
      </c>
    </row>
    <row r="526" spans="2:15" x14ac:dyDescent="0.25">
      <c r="B526" t="s">
        <v>547</v>
      </c>
      <c r="C526" t="s">
        <v>15</v>
      </c>
      <c r="D526">
        <f>VLOOKUP(C526,customers[],3,0)</f>
        <v>28</v>
      </c>
      <c r="E526" t="str">
        <f>VLOOKUP(C526,customers[],2,0)</f>
        <v>Female</v>
      </c>
      <c r="F526" t="str">
        <f>VLOOKUP(C526,customers[],4,0)</f>
        <v>Cincinnati</v>
      </c>
      <c r="G526">
        <v>141</v>
      </c>
      <c r="H526" s="17" t="s">
        <v>10</v>
      </c>
      <c r="I526" s="18">
        <v>45080</v>
      </c>
      <c r="J526">
        <v>54</v>
      </c>
      <c r="K526">
        <v>4.8</v>
      </c>
      <c r="L526">
        <f>IF(MONTH(calls[[#This Row],[Date of Call]])&lt;=6, YEAR(calls[[#This Row],[Date of Call]]), YEAR(calls[[#This Row],[Date of Call]])+1)</f>
        <v>2023</v>
      </c>
      <c r="M526" t="str">
        <f>TEXT(calls[[#This Row],[Date of Call]],"DDDD")</f>
        <v>السبت</v>
      </c>
      <c r="N526" t="str" cm="1">
        <f t="array" ref="N526">_xlfn.IFS(calls[[#This Row],[Duration]]&lt;=10,"Under 10 mins", calls[[#This Row],[Duration]]&lt;=30, "10 to 30 mins", calls[[#This Row],[Duration]]&lt;=60, "30 to 60 mins", calls[[#This Row],[Duration]]&lt;=120, "1 to 2 hours", TRUE, "More than 2 hours")</f>
        <v>More than 2 hours</v>
      </c>
      <c r="O526">
        <f>ROUND(calls[[#This Row],[Satisfaction Rating]],0)</f>
        <v>5</v>
      </c>
    </row>
    <row r="527" spans="2:15" x14ac:dyDescent="0.25">
      <c r="B527" t="s">
        <v>548</v>
      </c>
      <c r="C527" t="s">
        <v>14</v>
      </c>
      <c r="D527">
        <f>VLOOKUP(C527,customers[],3,0)</f>
        <v>22</v>
      </c>
      <c r="E527" t="str">
        <f>VLOOKUP(C527,customers[],2,0)</f>
        <v>Female</v>
      </c>
      <c r="F527" t="str">
        <f>VLOOKUP(C527,customers[],4,0)</f>
        <v>Cleveland</v>
      </c>
      <c r="G527">
        <v>147</v>
      </c>
      <c r="H527" s="17" t="s">
        <v>5</v>
      </c>
      <c r="I527" s="18">
        <v>45080</v>
      </c>
      <c r="J527">
        <v>115</v>
      </c>
      <c r="K527">
        <v>4.7</v>
      </c>
      <c r="L527">
        <f>IF(MONTH(calls[[#This Row],[Date of Call]])&lt;=6, YEAR(calls[[#This Row],[Date of Call]]), YEAR(calls[[#This Row],[Date of Call]])+1)</f>
        <v>2023</v>
      </c>
      <c r="M527" t="str">
        <f>TEXT(calls[[#This Row],[Date of Call]],"DDDD")</f>
        <v>السبت</v>
      </c>
      <c r="N527" t="str" cm="1">
        <f t="array" ref="N527">_xlfn.IFS(calls[[#This Row],[Duration]]&lt;=10,"Under 10 mins", calls[[#This Row],[Duration]]&lt;=30, "10 to 30 mins", calls[[#This Row],[Duration]]&lt;=60, "30 to 60 mins", calls[[#This Row],[Duration]]&lt;=120, "1 to 2 hours", TRUE, "More than 2 hours")</f>
        <v>More than 2 hours</v>
      </c>
      <c r="O527">
        <f>ROUND(calls[[#This Row],[Satisfaction Rating]],0)</f>
        <v>5</v>
      </c>
    </row>
    <row r="528" spans="2:15" x14ac:dyDescent="0.25">
      <c r="B528" t="s">
        <v>549</v>
      </c>
      <c r="C528" t="s">
        <v>18</v>
      </c>
      <c r="D528">
        <f>VLOOKUP(C528,customers[],3,0)</f>
        <v>43</v>
      </c>
      <c r="E528" t="str">
        <f>VLOOKUP(C528,customers[],2,0)</f>
        <v>Female</v>
      </c>
      <c r="F528" t="str">
        <f>VLOOKUP(C528,customers[],4,0)</f>
        <v>Cleveland</v>
      </c>
      <c r="G528">
        <v>49</v>
      </c>
      <c r="H528" s="17" t="s">
        <v>8</v>
      </c>
      <c r="I528" s="18">
        <v>45081</v>
      </c>
      <c r="J528">
        <v>100</v>
      </c>
      <c r="K528">
        <v>2.2000000000000002</v>
      </c>
      <c r="L528">
        <f>IF(MONTH(calls[[#This Row],[Date of Call]])&lt;=6, YEAR(calls[[#This Row],[Date of Call]]), YEAR(calls[[#This Row],[Date of Call]])+1)</f>
        <v>2023</v>
      </c>
      <c r="M528" t="str">
        <f>TEXT(calls[[#This Row],[Date of Call]],"DDDD")</f>
        <v>الأحد</v>
      </c>
      <c r="N528" t="str" cm="1">
        <f t="array" ref="N528">_xlfn.IFS(calls[[#This Row],[Duration]]&lt;=10,"Under 10 mins", calls[[#This Row],[Duration]]&lt;=30, "10 to 30 mins", calls[[#This Row],[Duration]]&lt;=60, "30 to 60 mins", calls[[#This Row],[Duration]]&lt;=120, "1 to 2 hours", TRUE, "More than 2 hours")</f>
        <v>30 to 60 mins</v>
      </c>
      <c r="O528">
        <f>ROUND(calls[[#This Row],[Satisfaction Rating]],0)</f>
        <v>2</v>
      </c>
    </row>
    <row r="529" spans="2:15" x14ac:dyDescent="0.25">
      <c r="B529" t="s">
        <v>550</v>
      </c>
      <c r="C529" t="s">
        <v>22</v>
      </c>
      <c r="D529">
        <f>VLOOKUP(C529,customers[],3,0)</f>
        <v>37</v>
      </c>
      <c r="E529" t="str">
        <f>VLOOKUP(C529,customers[],2,0)</f>
        <v>Male</v>
      </c>
      <c r="F529" t="str">
        <f>VLOOKUP(C529,customers[],4,0)</f>
        <v>Columbus</v>
      </c>
      <c r="G529">
        <v>75</v>
      </c>
      <c r="H529" s="17" t="s">
        <v>5</v>
      </c>
      <c r="I529" s="18">
        <v>45081</v>
      </c>
      <c r="J529">
        <v>38</v>
      </c>
      <c r="K529">
        <v>4.4000000000000004</v>
      </c>
      <c r="L529">
        <f>IF(MONTH(calls[[#This Row],[Date of Call]])&lt;=6, YEAR(calls[[#This Row],[Date of Call]]), YEAR(calls[[#This Row],[Date of Call]])+1)</f>
        <v>2023</v>
      </c>
      <c r="M529" t="str">
        <f>TEXT(calls[[#This Row],[Date of Call]],"DDDD")</f>
        <v>الأحد</v>
      </c>
      <c r="N529" t="str" cm="1">
        <f t="array" ref="N529">_xlfn.IFS(calls[[#This Row],[Duration]]&lt;=10,"Under 10 mins", calls[[#This Row],[Duration]]&lt;=30, "10 to 30 mins", calls[[#This Row],[Duration]]&lt;=60, "30 to 60 mins", calls[[#This Row],[Duration]]&lt;=120, "1 to 2 hours", TRUE, "More than 2 hours")</f>
        <v>1 to 2 hours</v>
      </c>
      <c r="O529">
        <f>ROUND(calls[[#This Row],[Satisfaction Rating]],0)</f>
        <v>4</v>
      </c>
    </row>
    <row r="530" spans="2:15" x14ac:dyDescent="0.25">
      <c r="B530" t="s">
        <v>551</v>
      </c>
      <c r="C530" t="s">
        <v>15</v>
      </c>
      <c r="D530">
        <f>VLOOKUP(C530,customers[],3,0)</f>
        <v>28</v>
      </c>
      <c r="E530" t="str">
        <f>VLOOKUP(C530,customers[],2,0)</f>
        <v>Female</v>
      </c>
      <c r="F530" t="str">
        <f>VLOOKUP(C530,customers[],4,0)</f>
        <v>Cincinnati</v>
      </c>
      <c r="G530">
        <v>48</v>
      </c>
      <c r="H530" s="17" t="s">
        <v>10</v>
      </c>
      <c r="I530" s="18">
        <v>45082</v>
      </c>
      <c r="J530">
        <v>120</v>
      </c>
      <c r="K530">
        <v>4.0999999999999996</v>
      </c>
      <c r="L530">
        <f>IF(MONTH(calls[[#This Row],[Date of Call]])&lt;=6, YEAR(calls[[#This Row],[Date of Call]]), YEAR(calls[[#This Row],[Date of Call]])+1)</f>
        <v>2023</v>
      </c>
      <c r="M530" t="str">
        <f>TEXT(calls[[#This Row],[Date of Call]],"DDDD")</f>
        <v>الإثنين</v>
      </c>
      <c r="N530" t="str" cm="1">
        <f t="array" ref="N530">_xlfn.IFS(calls[[#This Row],[Duration]]&lt;=10,"Under 10 mins", calls[[#This Row],[Duration]]&lt;=30, "10 to 30 mins", calls[[#This Row],[Duration]]&lt;=60, "30 to 60 mins", calls[[#This Row],[Duration]]&lt;=120, "1 to 2 hours", TRUE, "More than 2 hours")</f>
        <v>30 to 60 mins</v>
      </c>
      <c r="O530">
        <f>ROUND(calls[[#This Row],[Satisfaction Rating]],0)</f>
        <v>4</v>
      </c>
    </row>
    <row r="531" spans="2:15" x14ac:dyDescent="0.25">
      <c r="B531" t="s">
        <v>552</v>
      </c>
      <c r="C531" t="s">
        <v>21</v>
      </c>
      <c r="D531">
        <f>VLOOKUP(C531,customers[],3,0)</f>
        <v>25</v>
      </c>
      <c r="E531" t="str">
        <f>VLOOKUP(C531,customers[],2,0)</f>
        <v>Female</v>
      </c>
      <c r="F531" t="str">
        <f>VLOOKUP(C531,customers[],4,0)</f>
        <v>Columbus</v>
      </c>
      <c r="G531">
        <v>48</v>
      </c>
      <c r="H531" s="17" t="s">
        <v>10</v>
      </c>
      <c r="I531" s="18">
        <v>45082</v>
      </c>
      <c r="J531">
        <v>120</v>
      </c>
      <c r="K531">
        <v>4.0999999999999996</v>
      </c>
      <c r="L531">
        <f>IF(MONTH(calls[[#This Row],[Date of Call]])&lt;=6, YEAR(calls[[#This Row],[Date of Call]]), YEAR(calls[[#This Row],[Date of Call]])+1)</f>
        <v>2023</v>
      </c>
      <c r="M531" t="str">
        <f>TEXT(calls[[#This Row],[Date of Call]],"DDDD")</f>
        <v>الإثنين</v>
      </c>
      <c r="N531" t="str" cm="1">
        <f t="array" ref="N531">_xlfn.IFS(calls[[#This Row],[Duration]]&lt;=10,"Under 10 mins", calls[[#This Row],[Duration]]&lt;=30, "10 to 30 mins", calls[[#This Row],[Duration]]&lt;=60, "30 to 60 mins", calls[[#This Row],[Duration]]&lt;=120, "1 to 2 hours", TRUE, "More than 2 hours")</f>
        <v>30 to 60 mins</v>
      </c>
      <c r="O531">
        <f>ROUND(calls[[#This Row],[Satisfaction Rating]],0)</f>
        <v>4</v>
      </c>
    </row>
    <row r="532" spans="2:15" x14ac:dyDescent="0.25">
      <c r="B532" t="s">
        <v>553</v>
      </c>
      <c r="C532" t="s">
        <v>11</v>
      </c>
      <c r="D532">
        <f>VLOOKUP(C532,customers[],3,0)</f>
        <v>36</v>
      </c>
      <c r="E532" t="str">
        <f>VLOOKUP(C532,customers[],2,0)</f>
        <v>Male</v>
      </c>
      <c r="F532" t="str">
        <f>VLOOKUP(C532,customers[],4,0)</f>
        <v>Cincinnati</v>
      </c>
      <c r="G532">
        <v>138</v>
      </c>
      <c r="H532" s="17" t="s">
        <v>8</v>
      </c>
      <c r="I532" s="18">
        <v>45082</v>
      </c>
      <c r="J532">
        <v>29</v>
      </c>
      <c r="K532">
        <v>4.4000000000000004</v>
      </c>
      <c r="L532">
        <f>IF(MONTH(calls[[#This Row],[Date of Call]])&lt;=6, YEAR(calls[[#This Row],[Date of Call]]), YEAR(calls[[#This Row],[Date of Call]])+1)</f>
        <v>2023</v>
      </c>
      <c r="M532" t="str">
        <f>TEXT(calls[[#This Row],[Date of Call]],"DDDD")</f>
        <v>الإثنين</v>
      </c>
      <c r="N532" t="str" cm="1">
        <f t="array" ref="N532">_xlfn.IFS(calls[[#This Row],[Duration]]&lt;=10,"Under 10 mins", calls[[#This Row],[Duration]]&lt;=30, "10 to 30 mins", calls[[#This Row],[Duration]]&lt;=60, "30 to 60 mins", calls[[#This Row],[Duration]]&lt;=120, "1 to 2 hours", TRUE, "More than 2 hours")</f>
        <v>More than 2 hours</v>
      </c>
      <c r="O532">
        <f>ROUND(calls[[#This Row],[Satisfaction Rating]],0)</f>
        <v>4</v>
      </c>
    </row>
    <row r="533" spans="2:15" x14ac:dyDescent="0.25">
      <c r="B533" t="s">
        <v>554</v>
      </c>
      <c r="C533" t="s">
        <v>6</v>
      </c>
      <c r="D533">
        <f>VLOOKUP(C533,customers[],3,0)</f>
        <v>23</v>
      </c>
      <c r="E533" t="str">
        <f>VLOOKUP(C533,customers[],2,0)</f>
        <v>Male</v>
      </c>
      <c r="F533" t="str">
        <f>VLOOKUP(C533,customers[],4,0)</f>
        <v>Columbus</v>
      </c>
      <c r="G533">
        <v>144</v>
      </c>
      <c r="H533" s="17" t="s">
        <v>8</v>
      </c>
      <c r="I533" s="18">
        <v>45083</v>
      </c>
      <c r="J533">
        <v>25</v>
      </c>
      <c r="K533">
        <v>3.7</v>
      </c>
      <c r="L533">
        <f>IF(MONTH(calls[[#This Row],[Date of Call]])&lt;=6, YEAR(calls[[#This Row],[Date of Call]]), YEAR(calls[[#This Row],[Date of Call]])+1)</f>
        <v>2023</v>
      </c>
      <c r="M533" t="str">
        <f>TEXT(calls[[#This Row],[Date of Call]],"DDDD")</f>
        <v>الثلاثاء</v>
      </c>
      <c r="N533" t="str" cm="1">
        <f t="array" ref="N533">_xlfn.IFS(calls[[#This Row],[Duration]]&lt;=10,"Under 10 mins", calls[[#This Row],[Duration]]&lt;=30, "10 to 30 mins", calls[[#This Row],[Duration]]&lt;=60, "30 to 60 mins", calls[[#This Row],[Duration]]&lt;=120, "1 to 2 hours", TRUE, "More than 2 hours")</f>
        <v>More than 2 hours</v>
      </c>
      <c r="O533">
        <f>ROUND(calls[[#This Row],[Satisfaction Rating]],0)</f>
        <v>4</v>
      </c>
    </row>
    <row r="534" spans="2:15" x14ac:dyDescent="0.25">
      <c r="B534" t="s">
        <v>555</v>
      </c>
      <c r="C534" t="s">
        <v>16</v>
      </c>
      <c r="D534">
        <f>VLOOKUP(C534,customers[],3,0)</f>
        <v>41</v>
      </c>
      <c r="E534" t="str">
        <f>VLOOKUP(C534,customers[],2,0)</f>
        <v>Male</v>
      </c>
      <c r="F534" t="str">
        <f>VLOOKUP(C534,customers[],4,0)</f>
        <v>Columbus</v>
      </c>
      <c r="G534">
        <v>119</v>
      </c>
      <c r="H534" s="17" t="s">
        <v>5</v>
      </c>
      <c r="I534" s="18">
        <v>45084</v>
      </c>
      <c r="J534">
        <v>116</v>
      </c>
      <c r="K534">
        <v>3.8</v>
      </c>
      <c r="L534">
        <f>IF(MONTH(calls[[#This Row],[Date of Call]])&lt;=6, YEAR(calls[[#This Row],[Date of Call]]), YEAR(calls[[#This Row],[Date of Call]])+1)</f>
        <v>2023</v>
      </c>
      <c r="M534" t="str">
        <f>TEXT(calls[[#This Row],[Date of Call]],"DDDD")</f>
        <v>الأربعاء</v>
      </c>
      <c r="N534" t="str" cm="1">
        <f t="array" ref="N534">_xlfn.IFS(calls[[#This Row],[Duration]]&lt;=10,"Under 10 mins", calls[[#This Row],[Duration]]&lt;=30, "10 to 30 mins", calls[[#This Row],[Duration]]&lt;=60, "30 to 60 mins", calls[[#This Row],[Duration]]&lt;=120, "1 to 2 hours", TRUE, "More than 2 hours")</f>
        <v>1 to 2 hours</v>
      </c>
      <c r="O534">
        <f>ROUND(calls[[#This Row],[Satisfaction Rating]],0)</f>
        <v>4</v>
      </c>
    </row>
    <row r="535" spans="2:15" x14ac:dyDescent="0.25">
      <c r="B535" t="s">
        <v>556</v>
      </c>
      <c r="C535" t="s">
        <v>11</v>
      </c>
      <c r="D535">
        <f>VLOOKUP(C535,customers[],3,0)</f>
        <v>36</v>
      </c>
      <c r="E535" t="str">
        <f>VLOOKUP(C535,customers[],2,0)</f>
        <v>Male</v>
      </c>
      <c r="F535" t="str">
        <f>VLOOKUP(C535,customers[],4,0)</f>
        <v>Cincinnati</v>
      </c>
      <c r="G535">
        <v>101</v>
      </c>
      <c r="H535" s="17" t="s">
        <v>10</v>
      </c>
      <c r="I535" s="18">
        <v>45085</v>
      </c>
      <c r="J535">
        <v>132</v>
      </c>
      <c r="K535">
        <v>4.3</v>
      </c>
      <c r="L535">
        <f>IF(MONTH(calls[[#This Row],[Date of Call]])&lt;=6, YEAR(calls[[#This Row],[Date of Call]]), YEAR(calls[[#This Row],[Date of Call]])+1)</f>
        <v>2023</v>
      </c>
      <c r="M535" t="str">
        <f>TEXT(calls[[#This Row],[Date of Call]],"DDDD")</f>
        <v>الخميس</v>
      </c>
      <c r="N535" t="str" cm="1">
        <f t="array" ref="N535">_xlfn.IFS(calls[[#This Row],[Duration]]&lt;=10,"Under 10 mins", calls[[#This Row],[Duration]]&lt;=30, "10 to 30 mins", calls[[#This Row],[Duration]]&lt;=60, "30 to 60 mins", calls[[#This Row],[Duration]]&lt;=120, "1 to 2 hours", TRUE, "More than 2 hours")</f>
        <v>1 to 2 hours</v>
      </c>
      <c r="O535">
        <f>ROUND(calls[[#This Row],[Satisfaction Rating]],0)</f>
        <v>4</v>
      </c>
    </row>
    <row r="536" spans="2:15" x14ac:dyDescent="0.25">
      <c r="B536" t="s">
        <v>557</v>
      </c>
      <c r="C536" t="s">
        <v>6</v>
      </c>
      <c r="D536">
        <f>VLOOKUP(C536,customers[],3,0)</f>
        <v>23</v>
      </c>
      <c r="E536" t="str">
        <f>VLOOKUP(C536,customers[],2,0)</f>
        <v>Male</v>
      </c>
      <c r="F536" t="str">
        <f>VLOOKUP(C536,customers[],4,0)</f>
        <v>Columbus</v>
      </c>
      <c r="G536">
        <v>59</v>
      </c>
      <c r="H536" s="17" t="s">
        <v>5</v>
      </c>
      <c r="I536" s="18">
        <v>45086</v>
      </c>
      <c r="J536">
        <v>90</v>
      </c>
      <c r="K536">
        <v>3.5</v>
      </c>
      <c r="L536">
        <f>IF(MONTH(calls[[#This Row],[Date of Call]])&lt;=6, YEAR(calls[[#This Row],[Date of Call]]), YEAR(calls[[#This Row],[Date of Call]])+1)</f>
        <v>2023</v>
      </c>
      <c r="M536" t="str">
        <f>TEXT(calls[[#This Row],[Date of Call]],"DDDD")</f>
        <v>الجمعة</v>
      </c>
      <c r="N536" t="str" cm="1">
        <f t="array" ref="N536">_xlfn.IFS(calls[[#This Row],[Duration]]&lt;=10,"Under 10 mins", calls[[#This Row],[Duration]]&lt;=30, "10 to 30 mins", calls[[#This Row],[Duration]]&lt;=60, "30 to 60 mins", calls[[#This Row],[Duration]]&lt;=120, "1 to 2 hours", TRUE, "More than 2 hours")</f>
        <v>30 to 60 mins</v>
      </c>
      <c r="O536">
        <f>ROUND(calls[[#This Row],[Satisfaction Rating]],0)</f>
        <v>4</v>
      </c>
    </row>
    <row r="537" spans="2:15" x14ac:dyDescent="0.25">
      <c r="B537" t="s">
        <v>558</v>
      </c>
      <c r="C537" t="s">
        <v>13</v>
      </c>
      <c r="D537">
        <f>VLOOKUP(C537,customers[],3,0)</f>
        <v>37</v>
      </c>
      <c r="E537" t="str">
        <f>VLOOKUP(C537,customers[],2,0)</f>
        <v>Female</v>
      </c>
      <c r="F537" t="str">
        <f>VLOOKUP(C537,customers[],4,0)</f>
        <v>Cleveland</v>
      </c>
      <c r="G537">
        <v>125</v>
      </c>
      <c r="H537" s="17" t="s">
        <v>9</v>
      </c>
      <c r="I537" s="18">
        <v>45086</v>
      </c>
      <c r="J537">
        <v>87</v>
      </c>
      <c r="K537">
        <v>4.0999999999999996</v>
      </c>
      <c r="L537">
        <f>IF(MONTH(calls[[#This Row],[Date of Call]])&lt;=6, YEAR(calls[[#This Row],[Date of Call]]), YEAR(calls[[#This Row],[Date of Call]])+1)</f>
        <v>2023</v>
      </c>
      <c r="M537" t="str">
        <f>TEXT(calls[[#This Row],[Date of Call]],"DDDD")</f>
        <v>الجمعة</v>
      </c>
      <c r="N537" t="str" cm="1">
        <f t="array" ref="N537">_xlfn.IFS(calls[[#This Row],[Duration]]&lt;=10,"Under 10 mins", calls[[#This Row],[Duration]]&lt;=30, "10 to 30 mins", calls[[#This Row],[Duration]]&lt;=60, "30 to 60 mins", calls[[#This Row],[Duration]]&lt;=120, "1 to 2 hours", TRUE, "More than 2 hours")</f>
        <v>More than 2 hours</v>
      </c>
      <c r="O537">
        <f>ROUND(calls[[#This Row],[Satisfaction Rating]],0)</f>
        <v>4</v>
      </c>
    </row>
    <row r="538" spans="2:15" x14ac:dyDescent="0.25">
      <c r="B538" t="s">
        <v>559</v>
      </c>
      <c r="C538" t="s">
        <v>17</v>
      </c>
      <c r="D538">
        <f>VLOOKUP(C538,customers[],3,0)</f>
        <v>30</v>
      </c>
      <c r="E538" t="str">
        <f>VLOOKUP(C538,customers[],2,0)</f>
        <v>Female</v>
      </c>
      <c r="F538" t="str">
        <f>VLOOKUP(C538,customers[],4,0)</f>
        <v>Cleveland</v>
      </c>
      <c r="G538">
        <v>147</v>
      </c>
      <c r="H538" s="17" t="s">
        <v>5</v>
      </c>
      <c r="I538" s="18">
        <v>45086</v>
      </c>
      <c r="J538">
        <v>140</v>
      </c>
      <c r="K538">
        <v>4.2</v>
      </c>
      <c r="L538">
        <f>IF(MONTH(calls[[#This Row],[Date of Call]])&lt;=6, YEAR(calls[[#This Row],[Date of Call]]), YEAR(calls[[#This Row],[Date of Call]])+1)</f>
        <v>2023</v>
      </c>
      <c r="M538" t="str">
        <f>TEXT(calls[[#This Row],[Date of Call]],"DDDD")</f>
        <v>الجمعة</v>
      </c>
      <c r="N538" t="str" cm="1">
        <f t="array" ref="N538">_xlfn.IFS(calls[[#This Row],[Duration]]&lt;=10,"Under 10 mins", calls[[#This Row],[Duration]]&lt;=30, "10 to 30 mins", calls[[#This Row],[Duration]]&lt;=60, "30 to 60 mins", calls[[#This Row],[Duration]]&lt;=120, "1 to 2 hours", TRUE, "More than 2 hours")</f>
        <v>More than 2 hours</v>
      </c>
      <c r="O538">
        <f>ROUND(calls[[#This Row],[Satisfaction Rating]],0)</f>
        <v>4</v>
      </c>
    </row>
    <row r="539" spans="2:15" x14ac:dyDescent="0.25">
      <c r="B539" t="s">
        <v>560</v>
      </c>
      <c r="C539" t="s">
        <v>23</v>
      </c>
      <c r="D539">
        <f>VLOOKUP(C539,customers[],3,0)</f>
        <v>31</v>
      </c>
      <c r="E539" t="str">
        <f>VLOOKUP(C539,customers[],2,0)</f>
        <v>Male</v>
      </c>
      <c r="F539" t="str">
        <f>VLOOKUP(C539,customers[],4,0)</f>
        <v>Cleveland</v>
      </c>
      <c r="G539">
        <v>76</v>
      </c>
      <c r="H539" s="17" t="s">
        <v>5</v>
      </c>
      <c r="I539" s="18">
        <v>45086</v>
      </c>
      <c r="J539">
        <v>164</v>
      </c>
      <c r="K539">
        <v>4.5</v>
      </c>
      <c r="L539">
        <f>IF(MONTH(calls[[#This Row],[Date of Call]])&lt;=6, YEAR(calls[[#This Row],[Date of Call]]), YEAR(calls[[#This Row],[Date of Call]])+1)</f>
        <v>2023</v>
      </c>
      <c r="M539" t="str">
        <f>TEXT(calls[[#This Row],[Date of Call]],"DDDD")</f>
        <v>الجمعة</v>
      </c>
      <c r="N539" t="str" cm="1">
        <f t="array" ref="N539">_xlfn.IFS(calls[[#This Row],[Duration]]&lt;=10,"Under 10 mins", calls[[#This Row],[Duration]]&lt;=30, "10 to 30 mins", calls[[#This Row],[Duration]]&lt;=60, "30 to 60 mins", calls[[#This Row],[Duration]]&lt;=120, "1 to 2 hours", TRUE, "More than 2 hours")</f>
        <v>1 to 2 hours</v>
      </c>
      <c r="O539">
        <f>ROUND(calls[[#This Row],[Satisfaction Rating]],0)</f>
        <v>5</v>
      </c>
    </row>
    <row r="540" spans="2:15" x14ac:dyDescent="0.25">
      <c r="B540" t="s">
        <v>561</v>
      </c>
      <c r="C540" t="s">
        <v>14</v>
      </c>
      <c r="D540">
        <f>VLOOKUP(C540,customers[],3,0)</f>
        <v>22</v>
      </c>
      <c r="E540" t="str">
        <f>VLOOKUP(C540,customers[],2,0)</f>
        <v>Female</v>
      </c>
      <c r="F540" t="str">
        <f>VLOOKUP(C540,customers[],4,0)</f>
        <v>Cleveland</v>
      </c>
      <c r="G540">
        <v>99</v>
      </c>
      <c r="H540" s="17" t="s">
        <v>10</v>
      </c>
      <c r="I540" s="18">
        <v>45087</v>
      </c>
      <c r="J540">
        <v>180</v>
      </c>
      <c r="K540">
        <v>3.8</v>
      </c>
      <c r="L540">
        <f>IF(MONTH(calls[[#This Row],[Date of Call]])&lt;=6, YEAR(calls[[#This Row],[Date of Call]]), YEAR(calls[[#This Row],[Date of Call]])+1)</f>
        <v>2023</v>
      </c>
      <c r="M540" t="str">
        <f>TEXT(calls[[#This Row],[Date of Call]],"DDDD")</f>
        <v>السبت</v>
      </c>
      <c r="N540" t="str" cm="1">
        <f t="array" ref="N540">_xlfn.IFS(calls[[#This Row],[Duration]]&lt;=10,"Under 10 mins", calls[[#This Row],[Duration]]&lt;=30, "10 to 30 mins", calls[[#This Row],[Duration]]&lt;=60, "30 to 60 mins", calls[[#This Row],[Duration]]&lt;=120, "1 to 2 hours", TRUE, "More than 2 hours")</f>
        <v>1 to 2 hours</v>
      </c>
      <c r="O540">
        <f>ROUND(calls[[#This Row],[Satisfaction Rating]],0)</f>
        <v>4</v>
      </c>
    </row>
    <row r="541" spans="2:15" x14ac:dyDescent="0.25">
      <c r="B541" t="s">
        <v>562</v>
      </c>
      <c r="C541" t="s">
        <v>4</v>
      </c>
      <c r="D541">
        <f>VLOOKUP(C541,customers[],3,0)</f>
        <v>42</v>
      </c>
      <c r="E541" t="str">
        <f>VLOOKUP(C541,customers[],2,0)</f>
        <v>Female</v>
      </c>
      <c r="F541" t="str">
        <f>VLOOKUP(C541,customers[],4,0)</f>
        <v>Cleveland</v>
      </c>
      <c r="G541">
        <v>111</v>
      </c>
      <c r="H541" s="17" t="s">
        <v>12</v>
      </c>
      <c r="I541" s="18">
        <v>45088</v>
      </c>
      <c r="J541">
        <v>22</v>
      </c>
      <c r="K541">
        <v>4.0999999999999996</v>
      </c>
      <c r="L541">
        <f>IF(MONTH(calls[[#This Row],[Date of Call]])&lt;=6, YEAR(calls[[#This Row],[Date of Call]]), YEAR(calls[[#This Row],[Date of Call]])+1)</f>
        <v>2023</v>
      </c>
      <c r="M541" t="str">
        <f>TEXT(calls[[#This Row],[Date of Call]],"DDDD")</f>
        <v>الأحد</v>
      </c>
      <c r="N541" t="str" cm="1">
        <f t="array" ref="N541">_xlfn.IFS(calls[[#This Row],[Duration]]&lt;=10,"Under 10 mins", calls[[#This Row],[Duration]]&lt;=30, "10 to 30 mins", calls[[#This Row],[Duration]]&lt;=60, "30 to 60 mins", calls[[#This Row],[Duration]]&lt;=120, "1 to 2 hours", TRUE, "More than 2 hours")</f>
        <v>1 to 2 hours</v>
      </c>
      <c r="O541">
        <f>ROUND(calls[[#This Row],[Satisfaction Rating]],0)</f>
        <v>4</v>
      </c>
    </row>
    <row r="542" spans="2:15" x14ac:dyDescent="0.25">
      <c r="B542" t="s">
        <v>563</v>
      </c>
      <c r="C542" t="s">
        <v>7</v>
      </c>
      <c r="D542">
        <f>VLOOKUP(C542,customers[],3,0)</f>
        <v>30</v>
      </c>
      <c r="E542" t="str">
        <f>VLOOKUP(C542,customers[],2,0)</f>
        <v>Female</v>
      </c>
      <c r="F542" t="str">
        <f>VLOOKUP(C542,customers[],4,0)</f>
        <v>Cincinnati</v>
      </c>
      <c r="G542">
        <v>147</v>
      </c>
      <c r="H542" s="17" t="s">
        <v>9</v>
      </c>
      <c r="I542" s="18">
        <v>45088</v>
      </c>
      <c r="J542">
        <v>82</v>
      </c>
      <c r="K542">
        <v>4.4000000000000004</v>
      </c>
      <c r="L542">
        <f>IF(MONTH(calls[[#This Row],[Date of Call]])&lt;=6, YEAR(calls[[#This Row],[Date of Call]]), YEAR(calls[[#This Row],[Date of Call]])+1)</f>
        <v>2023</v>
      </c>
      <c r="M542" t="str">
        <f>TEXT(calls[[#This Row],[Date of Call]],"DDDD")</f>
        <v>الأحد</v>
      </c>
      <c r="N542" t="str" cm="1">
        <f t="array" ref="N542">_xlfn.IFS(calls[[#This Row],[Duration]]&lt;=10,"Under 10 mins", calls[[#This Row],[Duration]]&lt;=30, "10 to 30 mins", calls[[#This Row],[Duration]]&lt;=60, "30 to 60 mins", calls[[#This Row],[Duration]]&lt;=120, "1 to 2 hours", TRUE, "More than 2 hours")</f>
        <v>More than 2 hours</v>
      </c>
      <c r="O542">
        <f>ROUND(calls[[#This Row],[Satisfaction Rating]],0)</f>
        <v>4</v>
      </c>
    </row>
    <row r="543" spans="2:15" x14ac:dyDescent="0.25">
      <c r="B543" t="s">
        <v>564</v>
      </c>
      <c r="C543" t="s">
        <v>19</v>
      </c>
      <c r="D543">
        <f>VLOOKUP(C543,customers[],3,0)</f>
        <v>26</v>
      </c>
      <c r="E543" t="str">
        <f>VLOOKUP(C543,customers[],2,0)</f>
        <v>Male</v>
      </c>
      <c r="F543" t="str">
        <f>VLOOKUP(C543,customers[],4,0)</f>
        <v>Cincinnati</v>
      </c>
      <c r="G543">
        <v>141</v>
      </c>
      <c r="H543" s="17" t="s">
        <v>10</v>
      </c>
      <c r="I543" s="18">
        <v>45088</v>
      </c>
      <c r="J543">
        <v>100</v>
      </c>
      <c r="K543">
        <v>4.5999999999999996</v>
      </c>
      <c r="L543">
        <f>IF(MONTH(calls[[#This Row],[Date of Call]])&lt;=6, YEAR(calls[[#This Row],[Date of Call]]), YEAR(calls[[#This Row],[Date of Call]])+1)</f>
        <v>2023</v>
      </c>
      <c r="M543" t="str">
        <f>TEXT(calls[[#This Row],[Date of Call]],"DDDD")</f>
        <v>الأحد</v>
      </c>
      <c r="N543" t="str" cm="1">
        <f t="array" ref="N543">_xlfn.IFS(calls[[#This Row],[Duration]]&lt;=10,"Under 10 mins", calls[[#This Row],[Duration]]&lt;=30, "10 to 30 mins", calls[[#This Row],[Duration]]&lt;=60, "30 to 60 mins", calls[[#This Row],[Duration]]&lt;=120, "1 to 2 hours", TRUE, "More than 2 hours")</f>
        <v>More than 2 hours</v>
      </c>
      <c r="O543">
        <f>ROUND(calls[[#This Row],[Satisfaction Rating]],0)</f>
        <v>5</v>
      </c>
    </row>
    <row r="544" spans="2:15" x14ac:dyDescent="0.25">
      <c r="B544" t="s">
        <v>565</v>
      </c>
      <c r="C544" t="s">
        <v>23</v>
      </c>
      <c r="D544">
        <f>VLOOKUP(C544,customers[],3,0)</f>
        <v>31</v>
      </c>
      <c r="E544" t="str">
        <f>VLOOKUP(C544,customers[],2,0)</f>
        <v>Male</v>
      </c>
      <c r="F544" t="str">
        <f>VLOOKUP(C544,customers[],4,0)</f>
        <v>Cleveland</v>
      </c>
      <c r="G544">
        <v>71</v>
      </c>
      <c r="H544" s="17" t="s">
        <v>5</v>
      </c>
      <c r="I544" s="18">
        <v>45089</v>
      </c>
      <c r="J544">
        <v>52</v>
      </c>
      <c r="K544">
        <v>3.4</v>
      </c>
      <c r="L544">
        <f>IF(MONTH(calls[[#This Row],[Date of Call]])&lt;=6, YEAR(calls[[#This Row],[Date of Call]]), YEAR(calls[[#This Row],[Date of Call]])+1)</f>
        <v>2023</v>
      </c>
      <c r="M544" t="str">
        <f>TEXT(calls[[#This Row],[Date of Call]],"DDDD")</f>
        <v>الإثنين</v>
      </c>
      <c r="N544" t="str" cm="1">
        <f t="array" ref="N544">_xlfn.IFS(calls[[#This Row],[Duration]]&lt;=10,"Under 10 mins", calls[[#This Row],[Duration]]&lt;=30, "10 to 30 mins", calls[[#This Row],[Duration]]&lt;=60, "30 to 60 mins", calls[[#This Row],[Duration]]&lt;=120, "1 to 2 hours", TRUE, "More than 2 hours")</f>
        <v>1 to 2 hours</v>
      </c>
      <c r="O544">
        <f>ROUND(calls[[#This Row],[Satisfaction Rating]],0)</f>
        <v>3</v>
      </c>
    </row>
    <row r="545" spans="2:15" x14ac:dyDescent="0.25">
      <c r="B545" t="s">
        <v>566</v>
      </c>
      <c r="C545" t="s">
        <v>23</v>
      </c>
      <c r="D545">
        <f>VLOOKUP(C545,customers[],3,0)</f>
        <v>31</v>
      </c>
      <c r="E545" t="str">
        <f>VLOOKUP(C545,customers[],2,0)</f>
        <v>Male</v>
      </c>
      <c r="F545" t="str">
        <f>VLOOKUP(C545,customers[],4,0)</f>
        <v>Cleveland</v>
      </c>
      <c r="G545">
        <v>121</v>
      </c>
      <c r="H545" s="17" t="s">
        <v>9</v>
      </c>
      <c r="I545" s="18">
        <v>45090</v>
      </c>
      <c r="J545">
        <v>84</v>
      </c>
      <c r="K545">
        <v>4.5999999999999996</v>
      </c>
      <c r="L545">
        <f>IF(MONTH(calls[[#This Row],[Date of Call]])&lt;=6, YEAR(calls[[#This Row],[Date of Call]]), YEAR(calls[[#This Row],[Date of Call]])+1)</f>
        <v>2023</v>
      </c>
      <c r="M545" t="str">
        <f>TEXT(calls[[#This Row],[Date of Call]],"DDDD")</f>
        <v>الثلاثاء</v>
      </c>
      <c r="N545" t="str" cm="1">
        <f t="array" ref="N545">_xlfn.IFS(calls[[#This Row],[Duration]]&lt;=10,"Under 10 mins", calls[[#This Row],[Duration]]&lt;=30, "10 to 30 mins", calls[[#This Row],[Duration]]&lt;=60, "30 to 60 mins", calls[[#This Row],[Duration]]&lt;=120, "1 to 2 hours", TRUE, "More than 2 hours")</f>
        <v>More than 2 hours</v>
      </c>
      <c r="O545">
        <f>ROUND(calls[[#This Row],[Satisfaction Rating]],0)</f>
        <v>5</v>
      </c>
    </row>
    <row r="546" spans="2:15" x14ac:dyDescent="0.25">
      <c r="B546" t="s">
        <v>567</v>
      </c>
      <c r="C546" t="s">
        <v>23</v>
      </c>
      <c r="D546">
        <f>VLOOKUP(C546,customers[],3,0)</f>
        <v>31</v>
      </c>
      <c r="E546" t="str">
        <f>VLOOKUP(C546,customers[],2,0)</f>
        <v>Male</v>
      </c>
      <c r="F546" t="str">
        <f>VLOOKUP(C546,customers[],4,0)</f>
        <v>Cleveland</v>
      </c>
      <c r="G546">
        <v>60</v>
      </c>
      <c r="H546" s="17" t="s">
        <v>9</v>
      </c>
      <c r="I546" s="18">
        <v>45090</v>
      </c>
      <c r="J546">
        <v>37</v>
      </c>
      <c r="K546">
        <v>3.9</v>
      </c>
      <c r="L546">
        <f>IF(MONTH(calls[[#This Row],[Date of Call]])&lt;=6, YEAR(calls[[#This Row],[Date of Call]]), YEAR(calls[[#This Row],[Date of Call]])+1)</f>
        <v>2023</v>
      </c>
      <c r="M546" t="str">
        <f>TEXT(calls[[#This Row],[Date of Call]],"DDDD")</f>
        <v>الثلاثاء</v>
      </c>
      <c r="N546" t="str" cm="1">
        <f t="array" ref="N546">_xlfn.IFS(calls[[#This Row],[Duration]]&lt;=10,"Under 10 mins", calls[[#This Row],[Duration]]&lt;=30, "10 to 30 mins", calls[[#This Row],[Duration]]&lt;=60, "30 to 60 mins", calls[[#This Row],[Duration]]&lt;=120, "1 to 2 hours", TRUE, "More than 2 hours")</f>
        <v>30 to 60 mins</v>
      </c>
      <c r="O546">
        <f>ROUND(calls[[#This Row],[Satisfaction Rating]],0)</f>
        <v>4</v>
      </c>
    </row>
    <row r="547" spans="2:15" x14ac:dyDescent="0.25">
      <c r="B547" t="s">
        <v>568</v>
      </c>
      <c r="C547" t="s">
        <v>18</v>
      </c>
      <c r="D547">
        <f>VLOOKUP(C547,customers[],3,0)</f>
        <v>43</v>
      </c>
      <c r="E547" t="str">
        <f>VLOOKUP(C547,customers[],2,0)</f>
        <v>Female</v>
      </c>
      <c r="F547" t="str">
        <f>VLOOKUP(C547,customers[],4,0)</f>
        <v>Cleveland</v>
      </c>
      <c r="G547">
        <v>158</v>
      </c>
      <c r="H547" s="17" t="s">
        <v>10</v>
      </c>
      <c r="I547" s="18">
        <v>45091</v>
      </c>
      <c r="J547">
        <v>190</v>
      </c>
      <c r="K547">
        <v>4</v>
      </c>
      <c r="L547">
        <f>IF(MONTH(calls[[#This Row],[Date of Call]])&lt;=6, YEAR(calls[[#This Row],[Date of Call]]), YEAR(calls[[#This Row],[Date of Call]])+1)</f>
        <v>2023</v>
      </c>
      <c r="M547" t="str">
        <f>TEXT(calls[[#This Row],[Date of Call]],"DDDD")</f>
        <v>الأربعاء</v>
      </c>
      <c r="N547" t="str" cm="1">
        <f t="array" ref="N547">_xlfn.IFS(calls[[#This Row],[Duration]]&lt;=10,"Under 10 mins", calls[[#This Row],[Duration]]&lt;=30, "10 to 30 mins", calls[[#This Row],[Duration]]&lt;=60, "30 to 60 mins", calls[[#This Row],[Duration]]&lt;=120, "1 to 2 hours", TRUE, "More than 2 hours")</f>
        <v>More than 2 hours</v>
      </c>
      <c r="O547">
        <f>ROUND(calls[[#This Row],[Satisfaction Rating]],0)</f>
        <v>4</v>
      </c>
    </row>
    <row r="548" spans="2:15" x14ac:dyDescent="0.25">
      <c r="B548" t="s">
        <v>569</v>
      </c>
      <c r="C548" t="s">
        <v>17</v>
      </c>
      <c r="D548">
        <f>VLOOKUP(C548,customers[],3,0)</f>
        <v>30</v>
      </c>
      <c r="E548" t="str">
        <f>VLOOKUP(C548,customers[],2,0)</f>
        <v>Female</v>
      </c>
      <c r="F548" t="str">
        <f>VLOOKUP(C548,customers[],4,0)</f>
        <v>Cleveland</v>
      </c>
      <c r="G548">
        <v>159</v>
      </c>
      <c r="H548" s="17" t="s">
        <v>8</v>
      </c>
      <c r="I548" s="18">
        <v>45091</v>
      </c>
      <c r="J548">
        <v>66</v>
      </c>
      <c r="K548">
        <v>3.4</v>
      </c>
      <c r="L548">
        <f>IF(MONTH(calls[[#This Row],[Date of Call]])&lt;=6, YEAR(calls[[#This Row],[Date of Call]]), YEAR(calls[[#This Row],[Date of Call]])+1)</f>
        <v>2023</v>
      </c>
      <c r="M548" t="str">
        <f>TEXT(calls[[#This Row],[Date of Call]],"DDDD")</f>
        <v>الأربعاء</v>
      </c>
      <c r="N548" t="str" cm="1">
        <f t="array" ref="N548">_xlfn.IFS(calls[[#This Row],[Duration]]&lt;=10,"Under 10 mins", calls[[#This Row],[Duration]]&lt;=30, "10 to 30 mins", calls[[#This Row],[Duration]]&lt;=60, "30 to 60 mins", calls[[#This Row],[Duration]]&lt;=120, "1 to 2 hours", TRUE, "More than 2 hours")</f>
        <v>More than 2 hours</v>
      </c>
      <c r="O548">
        <f>ROUND(calls[[#This Row],[Satisfaction Rating]],0)</f>
        <v>3</v>
      </c>
    </row>
    <row r="549" spans="2:15" x14ac:dyDescent="0.25">
      <c r="B549" t="s">
        <v>570</v>
      </c>
      <c r="C549" t="s">
        <v>11</v>
      </c>
      <c r="D549">
        <f>VLOOKUP(C549,customers[],3,0)</f>
        <v>36</v>
      </c>
      <c r="E549" t="str">
        <f>VLOOKUP(C549,customers[],2,0)</f>
        <v>Male</v>
      </c>
      <c r="F549" t="str">
        <f>VLOOKUP(C549,customers[],4,0)</f>
        <v>Cincinnati</v>
      </c>
      <c r="G549">
        <v>70</v>
      </c>
      <c r="H549" s="17" t="s">
        <v>5</v>
      </c>
      <c r="I549" s="18">
        <v>45092</v>
      </c>
      <c r="J549">
        <v>116</v>
      </c>
      <c r="K549">
        <v>3.2</v>
      </c>
      <c r="L549">
        <f>IF(MONTH(calls[[#This Row],[Date of Call]])&lt;=6, YEAR(calls[[#This Row],[Date of Call]]), YEAR(calls[[#This Row],[Date of Call]])+1)</f>
        <v>2023</v>
      </c>
      <c r="M549" t="str">
        <f>TEXT(calls[[#This Row],[Date of Call]],"DDDD")</f>
        <v>الخميس</v>
      </c>
      <c r="N549" t="str" cm="1">
        <f t="array" ref="N549">_xlfn.IFS(calls[[#This Row],[Duration]]&lt;=10,"Under 10 mins", calls[[#This Row],[Duration]]&lt;=30, "10 to 30 mins", calls[[#This Row],[Duration]]&lt;=60, "30 to 60 mins", calls[[#This Row],[Duration]]&lt;=120, "1 to 2 hours", TRUE, "More than 2 hours")</f>
        <v>1 to 2 hours</v>
      </c>
      <c r="O549">
        <f>ROUND(calls[[#This Row],[Satisfaction Rating]],0)</f>
        <v>3</v>
      </c>
    </row>
    <row r="550" spans="2:15" x14ac:dyDescent="0.25">
      <c r="B550" t="s">
        <v>571</v>
      </c>
      <c r="C550" t="s">
        <v>15</v>
      </c>
      <c r="D550">
        <f>VLOOKUP(C550,customers[],3,0)</f>
        <v>28</v>
      </c>
      <c r="E550" t="str">
        <f>VLOOKUP(C550,customers[],2,0)</f>
        <v>Female</v>
      </c>
      <c r="F550" t="str">
        <f>VLOOKUP(C550,customers[],4,0)</f>
        <v>Cincinnati</v>
      </c>
      <c r="G550">
        <v>78</v>
      </c>
      <c r="H550" s="17" t="s">
        <v>12</v>
      </c>
      <c r="I550" s="18">
        <v>45092</v>
      </c>
      <c r="J550">
        <v>28</v>
      </c>
      <c r="K550">
        <v>3.9</v>
      </c>
      <c r="L550">
        <f>IF(MONTH(calls[[#This Row],[Date of Call]])&lt;=6, YEAR(calls[[#This Row],[Date of Call]]), YEAR(calls[[#This Row],[Date of Call]])+1)</f>
        <v>2023</v>
      </c>
      <c r="M550" t="str">
        <f>TEXT(calls[[#This Row],[Date of Call]],"DDDD")</f>
        <v>الخميس</v>
      </c>
      <c r="N550" t="str" cm="1">
        <f t="array" ref="N550">_xlfn.IFS(calls[[#This Row],[Duration]]&lt;=10,"Under 10 mins", calls[[#This Row],[Duration]]&lt;=30, "10 to 30 mins", calls[[#This Row],[Duration]]&lt;=60, "30 to 60 mins", calls[[#This Row],[Duration]]&lt;=120, "1 to 2 hours", TRUE, "More than 2 hours")</f>
        <v>1 to 2 hours</v>
      </c>
      <c r="O550">
        <f>ROUND(calls[[#This Row],[Satisfaction Rating]],0)</f>
        <v>4</v>
      </c>
    </row>
    <row r="551" spans="2:15" x14ac:dyDescent="0.25">
      <c r="B551" t="s">
        <v>572</v>
      </c>
      <c r="C551" t="s">
        <v>7</v>
      </c>
      <c r="D551">
        <f>VLOOKUP(C551,customers[],3,0)</f>
        <v>30</v>
      </c>
      <c r="E551" t="str">
        <f>VLOOKUP(C551,customers[],2,0)</f>
        <v>Female</v>
      </c>
      <c r="F551" t="str">
        <f>VLOOKUP(C551,customers[],4,0)</f>
        <v>Cincinnati</v>
      </c>
      <c r="G551">
        <v>103</v>
      </c>
      <c r="H551" s="17" t="s">
        <v>5</v>
      </c>
      <c r="I551" s="18">
        <v>45092</v>
      </c>
      <c r="J551">
        <v>120</v>
      </c>
      <c r="K551">
        <v>5</v>
      </c>
      <c r="L551">
        <f>IF(MONTH(calls[[#This Row],[Date of Call]])&lt;=6, YEAR(calls[[#This Row],[Date of Call]]), YEAR(calls[[#This Row],[Date of Call]])+1)</f>
        <v>2023</v>
      </c>
      <c r="M551" t="str">
        <f>TEXT(calls[[#This Row],[Date of Call]],"DDDD")</f>
        <v>الخميس</v>
      </c>
      <c r="N551" t="str" cm="1">
        <f t="array" ref="N551">_xlfn.IFS(calls[[#This Row],[Duration]]&lt;=10,"Under 10 mins", calls[[#This Row],[Duration]]&lt;=30, "10 to 30 mins", calls[[#This Row],[Duration]]&lt;=60, "30 to 60 mins", calls[[#This Row],[Duration]]&lt;=120, "1 to 2 hours", TRUE, "More than 2 hours")</f>
        <v>1 to 2 hours</v>
      </c>
      <c r="O551">
        <f>ROUND(calls[[#This Row],[Satisfaction Rating]],0)</f>
        <v>5</v>
      </c>
    </row>
    <row r="552" spans="2:15" x14ac:dyDescent="0.25">
      <c r="B552" t="s">
        <v>573</v>
      </c>
      <c r="C552" t="s">
        <v>22</v>
      </c>
      <c r="D552">
        <f>VLOOKUP(C552,customers[],3,0)</f>
        <v>37</v>
      </c>
      <c r="E552" t="str">
        <f>VLOOKUP(C552,customers[],2,0)</f>
        <v>Male</v>
      </c>
      <c r="F552" t="str">
        <f>VLOOKUP(C552,customers[],4,0)</f>
        <v>Columbus</v>
      </c>
      <c r="G552">
        <v>108</v>
      </c>
      <c r="H552" s="17" t="s">
        <v>10</v>
      </c>
      <c r="I552" s="18">
        <v>45092</v>
      </c>
      <c r="J552">
        <v>56</v>
      </c>
      <c r="K552">
        <v>3.5</v>
      </c>
      <c r="L552">
        <f>IF(MONTH(calls[[#This Row],[Date of Call]])&lt;=6, YEAR(calls[[#This Row],[Date of Call]]), YEAR(calls[[#This Row],[Date of Call]])+1)</f>
        <v>2023</v>
      </c>
      <c r="M552" t="str">
        <f>TEXT(calls[[#This Row],[Date of Call]],"DDDD")</f>
        <v>الخميس</v>
      </c>
      <c r="N552" t="str" cm="1">
        <f t="array" ref="N552">_xlfn.IFS(calls[[#This Row],[Duration]]&lt;=10,"Under 10 mins", calls[[#This Row],[Duration]]&lt;=30, "10 to 30 mins", calls[[#This Row],[Duration]]&lt;=60, "30 to 60 mins", calls[[#This Row],[Duration]]&lt;=120, "1 to 2 hours", TRUE, "More than 2 hours")</f>
        <v>1 to 2 hours</v>
      </c>
      <c r="O552">
        <f>ROUND(calls[[#This Row],[Satisfaction Rating]],0)</f>
        <v>4</v>
      </c>
    </row>
    <row r="553" spans="2:15" x14ac:dyDescent="0.25">
      <c r="B553" t="s">
        <v>574</v>
      </c>
      <c r="C553" t="s">
        <v>22</v>
      </c>
      <c r="D553">
        <f>VLOOKUP(C553,customers[],3,0)</f>
        <v>37</v>
      </c>
      <c r="E553" t="str">
        <f>VLOOKUP(C553,customers[],2,0)</f>
        <v>Male</v>
      </c>
      <c r="F553" t="str">
        <f>VLOOKUP(C553,customers[],4,0)</f>
        <v>Columbus</v>
      </c>
      <c r="G553">
        <v>44</v>
      </c>
      <c r="H553" s="17" t="s">
        <v>9</v>
      </c>
      <c r="I553" s="18">
        <v>45092</v>
      </c>
      <c r="J553">
        <v>170</v>
      </c>
      <c r="K553">
        <v>3.8</v>
      </c>
      <c r="L553">
        <f>IF(MONTH(calls[[#This Row],[Date of Call]])&lt;=6, YEAR(calls[[#This Row],[Date of Call]]), YEAR(calls[[#This Row],[Date of Call]])+1)</f>
        <v>2023</v>
      </c>
      <c r="M553" t="str">
        <f>TEXT(calls[[#This Row],[Date of Call]],"DDDD")</f>
        <v>الخميس</v>
      </c>
      <c r="N553" t="str" cm="1">
        <f t="array" ref="N553">_xlfn.IFS(calls[[#This Row],[Duration]]&lt;=10,"Under 10 mins", calls[[#This Row],[Duration]]&lt;=30, "10 to 30 mins", calls[[#This Row],[Duration]]&lt;=60, "30 to 60 mins", calls[[#This Row],[Duration]]&lt;=120, "1 to 2 hours", TRUE, "More than 2 hours")</f>
        <v>30 to 60 mins</v>
      </c>
      <c r="O553">
        <f>ROUND(calls[[#This Row],[Satisfaction Rating]],0)</f>
        <v>4</v>
      </c>
    </row>
    <row r="554" spans="2:15" x14ac:dyDescent="0.25">
      <c r="B554" t="s">
        <v>575</v>
      </c>
      <c r="C554" t="s">
        <v>15</v>
      </c>
      <c r="D554">
        <f>VLOOKUP(C554,customers[],3,0)</f>
        <v>28</v>
      </c>
      <c r="E554" t="str">
        <f>VLOOKUP(C554,customers[],2,0)</f>
        <v>Female</v>
      </c>
      <c r="F554" t="str">
        <f>VLOOKUP(C554,customers[],4,0)</f>
        <v>Cincinnati</v>
      </c>
      <c r="G554">
        <v>127</v>
      </c>
      <c r="H554" s="17" t="s">
        <v>10</v>
      </c>
      <c r="I554" s="18">
        <v>45093</v>
      </c>
      <c r="J554">
        <v>200</v>
      </c>
      <c r="K554">
        <v>4.8</v>
      </c>
      <c r="L554">
        <f>IF(MONTH(calls[[#This Row],[Date of Call]])&lt;=6, YEAR(calls[[#This Row],[Date of Call]]), YEAR(calls[[#This Row],[Date of Call]])+1)</f>
        <v>2023</v>
      </c>
      <c r="M554" t="str">
        <f>TEXT(calls[[#This Row],[Date of Call]],"DDDD")</f>
        <v>الجمعة</v>
      </c>
      <c r="N554" t="str" cm="1">
        <f t="array" ref="N554">_xlfn.IFS(calls[[#This Row],[Duration]]&lt;=10,"Under 10 mins", calls[[#This Row],[Duration]]&lt;=30, "10 to 30 mins", calls[[#This Row],[Duration]]&lt;=60, "30 to 60 mins", calls[[#This Row],[Duration]]&lt;=120, "1 to 2 hours", TRUE, "More than 2 hours")</f>
        <v>More than 2 hours</v>
      </c>
      <c r="O554">
        <f>ROUND(calls[[#This Row],[Satisfaction Rating]],0)</f>
        <v>5</v>
      </c>
    </row>
    <row r="555" spans="2:15" x14ac:dyDescent="0.25">
      <c r="B555" t="s">
        <v>576</v>
      </c>
      <c r="C555" t="s">
        <v>7</v>
      </c>
      <c r="D555">
        <f>VLOOKUP(C555,customers[],3,0)</f>
        <v>30</v>
      </c>
      <c r="E555" t="str">
        <f>VLOOKUP(C555,customers[],2,0)</f>
        <v>Female</v>
      </c>
      <c r="F555" t="str">
        <f>VLOOKUP(C555,customers[],4,0)</f>
        <v>Cincinnati</v>
      </c>
      <c r="G555">
        <v>132</v>
      </c>
      <c r="H555" s="17" t="s">
        <v>5</v>
      </c>
      <c r="I555" s="18">
        <v>45094</v>
      </c>
      <c r="J555">
        <v>50</v>
      </c>
      <c r="K555">
        <v>4.2</v>
      </c>
      <c r="L555">
        <f>IF(MONTH(calls[[#This Row],[Date of Call]])&lt;=6, YEAR(calls[[#This Row],[Date of Call]]), YEAR(calls[[#This Row],[Date of Call]])+1)</f>
        <v>2023</v>
      </c>
      <c r="M555" t="str">
        <f>TEXT(calls[[#This Row],[Date of Call]],"DDDD")</f>
        <v>السبت</v>
      </c>
      <c r="N555" t="str" cm="1">
        <f t="array" ref="N555">_xlfn.IFS(calls[[#This Row],[Duration]]&lt;=10,"Under 10 mins", calls[[#This Row],[Duration]]&lt;=30, "10 to 30 mins", calls[[#This Row],[Duration]]&lt;=60, "30 to 60 mins", calls[[#This Row],[Duration]]&lt;=120, "1 to 2 hours", TRUE, "More than 2 hours")</f>
        <v>More than 2 hours</v>
      </c>
      <c r="O555">
        <f>ROUND(calls[[#This Row],[Satisfaction Rating]],0)</f>
        <v>4</v>
      </c>
    </row>
    <row r="556" spans="2:15" x14ac:dyDescent="0.25">
      <c r="B556" t="s">
        <v>577</v>
      </c>
      <c r="C556" t="s">
        <v>19</v>
      </c>
      <c r="D556">
        <f>VLOOKUP(C556,customers[],3,0)</f>
        <v>26</v>
      </c>
      <c r="E556" t="str">
        <f>VLOOKUP(C556,customers[],2,0)</f>
        <v>Male</v>
      </c>
      <c r="F556" t="str">
        <f>VLOOKUP(C556,customers[],4,0)</f>
        <v>Cincinnati</v>
      </c>
      <c r="G556">
        <v>106</v>
      </c>
      <c r="H556" s="17" t="s">
        <v>12</v>
      </c>
      <c r="I556" s="18">
        <v>45094</v>
      </c>
      <c r="J556">
        <v>112</v>
      </c>
      <c r="K556">
        <v>3.7</v>
      </c>
      <c r="L556">
        <f>IF(MONTH(calls[[#This Row],[Date of Call]])&lt;=6, YEAR(calls[[#This Row],[Date of Call]]), YEAR(calls[[#This Row],[Date of Call]])+1)</f>
        <v>2023</v>
      </c>
      <c r="M556" t="str">
        <f>TEXT(calls[[#This Row],[Date of Call]],"DDDD")</f>
        <v>السبت</v>
      </c>
      <c r="N556" t="str" cm="1">
        <f t="array" ref="N556">_xlfn.IFS(calls[[#This Row],[Duration]]&lt;=10,"Under 10 mins", calls[[#This Row],[Duration]]&lt;=30, "10 to 30 mins", calls[[#This Row],[Duration]]&lt;=60, "30 to 60 mins", calls[[#This Row],[Duration]]&lt;=120, "1 to 2 hours", TRUE, "More than 2 hours")</f>
        <v>1 to 2 hours</v>
      </c>
      <c r="O556">
        <f>ROUND(calls[[#This Row],[Satisfaction Rating]],0)</f>
        <v>4</v>
      </c>
    </row>
    <row r="557" spans="2:15" x14ac:dyDescent="0.25">
      <c r="B557" t="s">
        <v>578</v>
      </c>
      <c r="C557" t="s">
        <v>4</v>
      </c>
      <c r="D557">
        <f>VLOOKUP(C557,customers[],3,0)</f>
        <v>42</v>
      </c>
      <c r="E557" t="str">
        <f>VLOOKUP(C557,customers[],2,0)</f>
        <v>Female</v>
      </c>
      <c r="F557" t="str">
        <f>VLOOKUP(C557,customers[],4,0)</f>
        <v>Cleveland</v>
      </c>
      <c r="G557">
        <v>107</v>
      </c>
      <c r="H557" s="17" t="s">
        <v>5</v>
      </c>
      <c r="I557" s="18">
        <v>45095</v>
      </c>
      <c r="J557">
        <v>39</v>
      </c>
      <c r="K557">
        <v>4.8</v>
      </c>
      <c r="L557">
        <f>IF(MONTH(calls[[#This Row],[Date of Call]])&lt;=6, YEAR(calls[[#This Row],[Date of Call]]), YEAR(calls[[#This Row],[Date of Call]])+1)</f>
        <v>2023</v>
      </c>
      <c r="M557" t="str">
        <f>TEXT(calls[[#This Row],[Date of Call]],"DDDD")</f>
        <v>الأحد</v>
      </c>
      <c r="N557" t="str" cm="1">
        <f t="array" ref="N557">_xlfn.IFS(calls[[#This Row],[Duration]]&lt;=10,"Under 10 mins", calls[[#This Row],[Duration]]&lt;=30, "10 to 30 mins", calls[[#This Row],[Duration]]&lt;=60, "30 to 60 mins", calls[[#This Row],[Duration]]&lt;=120, "1 to 2 hours", TRUE, "More than 2 hours")</f>
        <v>1 to 2 hours</v>
      </c>
      <c r="O557">
        <f>ROUND(calls[[#This Row],[Satisfaction Rating]],0)</f>
        <v>5</v>
      </c>
    </row>
    <row r="558" spans="2:15" x14ac:dyDescent="0.25">
      <c r="B558" t="s">
        <v>579</v>
      </c>
      <c r="C558" t="s">
        <v>17</v>
      </c>
      <c r="D558">
        <f>VLOOKUP(C558,customers[],3,0)</f>
        <v>30</v>
      </c>
      <c r="E558" t="str">
        <f>VLOOKUP(C558,customers[],2,0)</f>
        <v>Female</v>
      </c>
      <c r="F558" t="str">
        <f>VLOOKUP(C558,customers[],4,0)</f>
        <v>Cleveland</v>
      </c>
      <c r="G558">
        <v>85</v>
      </c>
      <c r="H558" s="17" t="s">
        <v>12</v>
      </c>
      <c r="I558" s="18">
        <v>45095</v>
      </c>
      <c r="J558">
        <v>38</v>
      </c>
      <c r="K558">
        <v>4.8</v>
      </c>
      <c r="L558">
        <f>IF(MONTH(calls[[#This Row],[Date of Call]])&lt;=6, YEAR(calls[[#This Row],[Date of Call]]), YEAR(calls[[#This Row],[Date of Call]])+1)</f>
        <v>2023</v>
      </c>
      <c r="M558" t="str">
        <f>TEXT(calls[[#This Row],[Date of Call]],"DDDD")</f>
        <v>الأحد</v>
      </c>
      <c r="N558" t="str" cm="1">
        <f t="array" ref="N558">_xlfn.IFS(calls[[#This Row],[Duration]]&lt;=10,"Under 10 mins", calls[[#This Row],[Duration]]&lt;=30, "10 to 30 mins", calls[[#This Row],[Duration]]&lt;=60, "30 to 60 mins", calls[[#This Row],[Duration]]&lt;=120, "1 to 2 hours", TRUE, "More than 2 hours")</f>
        <v>1 to 2 hours</v>
      </c>
      <c r="O558">
        <f>ROUND(calls[[#This Row],[Satisfaction Rating]],0)</f>
        <v>5</v>
      </c>
    </row>
    <row r="559" spans="2:15" x14ac:dyDescent="0.25">
      <c r="B559" t="s">
        <v>580</v>
      </c>
      <c r="C559" t="s">
        <v>14</v>
      </c>
      <c r="D559">
        <f>VLOOKUP(C559,customers[],3,0)</f>
        <v>22</v>
      </c>
      <c r="E559" t="str">
        <f>VLOOKUP(C559,customers[],2,0)</f>
        <v>Female</v>
      </c>
      <c r="F559" t="str">
        <f>VLOOKUP(C559,customers[],4,0)</f>
        <v>Cleveland</v>
      </c>
      <c r="G559">
        <v>49</v>
      </c>
      <c r="H559" s="17" t="s">
        <v>5</v>
      </c>
      <c r="I559" s="18">
        <v>45096</v>
      </c>
      <c r="J559">
        <v>84</v>
      </c>
      <c r="K559">
        <v>2.9</v>
      </c>
      <c r="L559">
        <f>IF(MONTH(calls[[#This Row],[Date of Call]])&lt;=6, YEAR(calls[[#This Row],[Date of Call]]), YEAR(calls[[#This Row],[Date of Call]])+1)</f>
        <v>2023</v>
      </c>
      <c r="M559" t="str">
        <f>TEXT(calls[[#This Row],[Date of Call]],"DDDD")</f>
        <v>الإثنين</v>
      </c>
      <c r="N559" t="str" cm="1">
        <f t="array" ref="N559">_xlfn.IFS(calls[[#This Row],[Duration]]&lt;=10,"Under 10 mins", calls[[#This Row],[Duration]]&lt;=30, "10 to 30 mins", calls[[#This Row],[Duration]]&lt;=60, "30 to 60 mins", calls[[#This Row],[Duration]]&lt;=120, "1 to 2 hours", TRUE, "More than 2 hours")</f>
        <v>30 to 60 mins</v>
      </c>
      <c r="O559">
        <f>ROUND(calls[[#This Row],[Satisfaction Rating]],0)</f>
        <v>3</v>
      </c>
    </row>
    <row r="560" spans="2:15" x14ac:dyDescent="0.25">
      <c r="B560" t="s">
        <v>581</v>
      </c>
      <c r="C560" t="s">
        <v>23</v>
      </c>
      <c r="D560">
        <f>VLOOKUP(C560,customers[],3,0)</f>
        <v>31</v>
      </c>
      <c r="E560" t="str">
        <f>VLOOKUP(C560,customers[],2,0)</f>
        <v>Male</v>
      </c>
      <c r="F560" t="str">
        <f>VLOOKUP(C560,customers[],4,0)</f>
        <v>Cleveland</v>
      </c>
      <c r="G560">
        <v>117</v>
      </c>
      <c r="H560" s="17" t="s">
        <v>10</v>
      </c>
      <c r="I560" s="18">
        <v>45097</v>
      </c>
      <c r="J560">
        <v>82</v>
      </c>
      <c r="K560">
        <v>3.5</v>
      </c>
      <c r="L560">
        <f>IF(MONTH(calls[[#This Row],[Date of Call]])&lt;=6, YEAR(calls[[#This Row],[Date of Call]]), YEAR(calls[[#This Row],[Date of Call]])+1)</f>
        <v>2023</v>
      </c>
      <c r="M560" t="str">
        <f>TEXT(calls[[#This Row],[Date of Call]],"DDDD")</f>
        <v>الثلاثاء</v>
      </c>
      <c r="N560" t="str" cm="1">
        <f t="array" ref="N560">_xlfn.IFS(calls[[#This Row],[Duration]]&lt;=10,"Under 10 mins", calls[[#This Row],[Duration]]&lt;=30, "10 to 30 mins", calls[[#This Row],[Duration]]&lt;=60, "30 to 60 mins", calls[[#This Row],[Duration]]&lt;=120, "1 to 2 hours", TRUE, "More than 2 hours")</f>
        <v>1 to 2 hours</v>
      </c>
      <c r="O560">
        <f>ROUND(calls[[#This Row],[Satisfaction Rating]],0)</f>
        <v>4</v>
      </c>
    </row>
    <row r="561" spans="2:15" x14ac:dyDescent="0.25">
      <c r="B561" t="s">
        <v>582</v>
      </c>
      <c r="C561" t="s">
        <v>4</v>
      </c>
      <c r="D561">
        <f>VLOOKUP(C561,customers[],3,0)</f>
        <v>42</v>
      </c>
      <c r="E561" t="str">
        <f>VLOOKUP(C561,customers[],2,0)</f>
        <v>Female</v>
      </c>
      <c r="F561" t="str">
        <f>VLOOKUP(C561,customers[],4,0)</f>
        <v>Cleveland</v>
      </c>
      <c r="G561">
        <v>136</v>
      </c>
      <c r="H561" s="17" t="s">
        <v>12</v>
      </c>
      <c r="I561" s="18">
        <v>45097</v>
      </c>
      <c r="J561">
        <v>37</v>
      </c>
      <c r="K561">
        <v>0.9</v>
      </c>
      <c r="L561">
        <f>IF(MONTH(calls[[#This Row],[Date of Call]])&lt;=6, YEAR(calls[[#This Row],[Date of Call]]), YEAR(calls[[#This Row],[Date of Call]])+1)</f>
        <v>2023</v>
      </c>
      <c r="M561" t="str">
        <f>TEXT(calls[[#This Row],[Date of Call]],"DDDD")</f>
        <v>الثلاثاء</v>
      </c>
      <c r="N561" t="str" cm="1">
        <f t="array" ref="N561">_xlfn.IFS(calls[[#This Row],[Duration]]&lt;=10,"Under 10 mins", calls[[#This Row],[Duration]]&lt;=30, "10 to 30 mins", calls[[#This Row],[Duration]]&lt;=60, "30 to 60 mins", calls[[#This Row],[Duration]]&lt;=120, "1 to 2 hours", TRUE, "More than 2 hours")</f>
        <v>More than 2 hours</v>
      </c>
      <c r="O561">
        <f>ROUND(calls[[#This Row],[Satisfaction Rating]],0)</f>
        <v>1</v>
      </c>
    </row>
    <row r="562" spans="2:15" x14ac:dyDescent="0.25">
      <c r="B562" t="s">
        <v>583</v>
      </c>
      <c r="C562" t="s">
        <v>22</v>
      </c>
      <c r="D562">
        <f>VLOOKUP(C562,customers[],3,0)</f>
        <v>37</v>
      </c>
      <c r="E562" t="str">
        <f>VLOOKUP(C562,customers[],2,0)</f>
        <v>Male</v>
      </c>
      <c r="F562" t="str">
        <f>VLOOKUP(C562,customers[],4,0)</f>
        <v>Columbus</v>
      </c>
      <c r="G562">
        <v>130</v>
      </c>
      <c r="H562" s="17" t="s">
        <v>8</v>
      </c>
      <c r="I562" s="18">
        <v>45098</v>
      </c>
      <c r="J562">
        <v>87</v>
      </c>
      <c r="K562">
        <v>3.4</v>
      </c>
      <c r="L562">
        <f>IF(MONTH(calls[[#This Row],[Date of Call]])&lt;=6, YEAR(calls[[#This Row],[Date of Call]]), YEAR(calls[[#This Row],[Date of Call]])+1)</f>
        <v>2023</v>
      </c>
      <c r="M562" t="str">
        <f>TEXT(calls[[#This Row],[Date of Call]],"DDDD")</f>
        <v>الأربعاء</v>
      </c>
      <c r="N562" t="str" cm="1">
        <f t="array" ref="N562">_xlfn.IFS(calls[[#This Row],[Duration]]&lt;=10,"Under 10 mins", calls[[#This Row],[Duration]]&lt;=30, "10 to 30 mins", calls[[#This Row],[Duration]]&lt;=60, "30 to 60 mins", calls[[#This Row],[Duration]]&lt;=120, "1 to 2 hours", TRUE, "More than 2 hours")</f>
        <v>More than 2 hours</v>
      </c>
      <c r="O562">
        <f>ROUND(calls[[#This Row],[Satisfaction Rating]],0)</f>
        <v>3</v>
      </c>
    </row>
    <row r="563" spans="2:15" x14ac:dyDescent="0.25">
      <c r="B563" t="s">
        <v>584</v>
      </c>
      <c r="C563" t="s">
        <v>22</v>
      </c>
      <c r="D563">
        <f>VLOOKUP(C563,customers[],3,0)</f>
        <v>37</v>
      </c>
      <c r="E563" t="str">
        <f>VLOOKUP(C563,customers[],2,0)</f>
        <v>Male</v>
      </c>
      <c r="F563" t="str">
        <f>VLOOKUP(C563,customers[],4,0)</f>
        <v>Columbus</v>
      </c>
      <c r="G563">
        <v>73</v>
      </c>
      <c r="H563" s="17" t="s">
        <v>8</v>
      </c>
      <c r="I563" s="18">
        <v>45098</v>
      </c>
      <c r="J563">
        <v>75</v>
      </c>
      <c r="K563">
        <v>2.7</v>
      </c>
      <c r="L563">
        <f>IF(MONTH(calls[[#This Row],[Date of Call]])&lt;=6, YEAR(calls[[#This Row],[Date of Call]]), YEAR(calls[[#This Row],[Date of Call]])+1)</f>
        <v>2023</v>
      </c>
      <c r="M563" t="str">
        <f>TEXT(calls[[#This Row],[Date of Call]],"DDDD")</f>
        <v>الأربعاء</v>
      </c>
      <c r="N563" t="str" cm="1">
        <f t="array" ref="N563">_xlfn.IFS(calls[[#This Row],[Duration]]&lt;=10,"Under 10 mins", calls[[#This Row],[Duration]]&lt;=30, "10 to 30 mins", calls[[#This Row],[Duration]]&lt;=60, "30 to 60 mins", calls[[#This Row],[Duration]]&lt;=120, "1 to 2 hours", TRUE, "More than 2 hours")</f>
        <v>1 to 2 hours</v>
      </c>
      <c r="O563">
        <f>ROUND(calls[[#This Row],[Satisfaction Rating]],0)</f>
        <v>3</v>
      </c>
    </row>
    <row r="564" spans="2:15" x14ac:dyDescent="0.25">
      <c r="B564" t="s">
        <v>585</v>
      </c>
      <c r="C564" t="s">
        <v>14</v>
      </c>
      <c r="D564">
        <f>VLOOKUP(C564,customers[],3,0)</f>
        <v>22</v>
      </c>
      <c r="E564" t="str">
        <f>VLOOKUP(C564,customers[],2,0)</f>
        <v>Female</v>
      </c>
      <c r="F564" t="str">
        <f>VLOOKUP(C564,customers[],4,0)</f>
        <v>Cleveland</v>
      </c>
      <c r="G564">
        <v>80</v>
      </c>
      <c r="H564" s="17" t="s">
        <v>5</v>
      </c>
      <c r="I564" s="18">
        <v>45098</v>
      </c>
      <c r="J564">
        <v>32</v>
      </c>
      <c r="K564">
        <v>4.7</v>
      </c>
      <c r="L564">
        <f>IF(MONTH(calls[[#This Row],[Date of Call]])&lt;=6, YEAR(calls[[#This Row],[Date of Call]]), YEAR(calls[[#This Row],[Date of Call]])+1)</f>
        <v>2023</v>
      </c>
      <c r="M564" t="str">
        <f>TEXT(calls[[#This Row],[Date of Call]],"DDDD")</f>
        <v>الأربعاء</v>
      </c>
      <c r="N564" t="str" cm="1">
        <f t="array" ref="N564">_xlfn.IFS(calls[[#This Row],[Duration]]&lt;=10,"Under 10 mins", calls[[#This Row],[Duration]]&lt;=30, "10 to 30 mins", calls[[#This Row],[Duration]]&lt;=60, "30 to 60 mins", calls[[#This Row],[Duration]]&lt;=120, "1 to 2 hours", TRUE, "More than 2 hours")</f>
        <v>1 to 2 hours</v>
      </c>
      <c r="O564">
        <f>ROUND(calls[[#This Row],[Satisfaction Rating]],0)</f>
        <v>5</v>
      </c>
    </row>
    <row r="565" spans="2:15" x14ac:dyDescent="0.25">
      <c r="B565" t="s">
        <v>586</v>
      </c>
      <c r="C565" t="s">
        <v>16</v>
      </c>
      <c r="D565">
        <f>VLOOKUP(C565,customers[],3,0)</f>
        <v>41</v>
      </c>
      <c r="E565" t="str">
        <f>VLOOKUP(C565,customers[],2,0)</f>
        <v>Male</v>
      </c>
      <c r="F565" t="str">
        <f>VLOOKUP(C565,customers[],4,0)</f>
        <v>Columbus</v>
      </c>
      <c r="G565">
        <v>44</v>
      </c>
      <c r="H565" s="17" t="s">
        <v>10</v>
      </c>
      <c r="I565" s="18">
        <v>45098</v>
      </c>
      <c r="J565">
        <v>33</v>
      </c>
      <c r="K565">
        <v>3</v>
      </c>
      <c r="L565">
        <f>IF(MONTH(calls[[#This Row],[Date of Call]])&lt;=6, YEAR(calls[[#This Row],[Date of Call]]), YEAR(calls[[#This Row],[Date of Call]])+1)</f>
        <v>2023</v>
      </c>
      <c r="M565" t="str">
        <f>TEXT(calls[[#This Row],[Date of Call]],"DDDD")</f>
        <v>الأربعاء</v>
      </c>
      <c r="N565" t="str" cm="1">
        <f t="array" ref="N565">_xlfn.IFS(calls[[#This Row],[Duration]]&lt;=10,"Under 10 mins", calls[[#This Row],[Duration]]&lt;=30, "10 to 30 mins", calls[[#This Row],[Duration]]&lt;=60, "30 to 60 mins", calls[[#This Row],[Duration]]&lt;=120, "1 to 2 hours", TRUE, "More than 2 hours")</f>
        <v>30 to 60 mins</v>
      </c>
      <c r="O565">
        <f>ROUND(calls[[#This Row],[Satisfaction Rating]],0)</f>
        <v>3</v>
      </c>
    </row>
    <row r="566" spans="2:15" x14ac:dyDescent="0.25">
      <c r="B566" t="s">
        <v>587</v>
      </c>
      <c r="C566" t="s">
        <v>16</v>
      </c>
      <c r="D566">
        <f>VLOOKUP(C566,customers[],3,0)</f>
        <v>41</v>
      </c>
      <c r="E566" t="str">
        <f>VLOOKUP(C566,customers[],2,0)</f>
        <v>Male</v>
      </c>
      <c r="F566" t="str">
        <f>VLOOKUP(C566,customers[],4,0)</f>
        <v>Columbus</v>
      </c>
      <c r="G566">
        <v>102</v>
      </c>
      <c r="H566" s="17" t="s">
        <v>9</v>
      </c>
      <c r="I566" s="18">
        <v>45098</v>
      </c>
      <c r="J566">
        <v>76</v>
      </c>
      <c r="K566">
        <v>4.2</v>
      </c>
      <c r="L566">
        <f>IF(MONTH(calls[[#This Row],[Date of Call]])&lt;=6, YEAR(calls[[#This Row],[Date of Call]]), YEAR(calls[[#This Row],[Date of Call]])+1)</f>
        <v>2023</v>
      </c>
      <c r="M566" t="str">
        <f>TEXT(calls[[#This Row],[Date of Call]],"DDDD")</f>
        <v>الأربعاء</v>
      </c>
      <c r="N566" t="str" cm="1">
        <f t="array" ref="N566">_xlfn.IFS(calls[[#This Row],[Duration]]&lt;=10,"Under 10 mins", calls[[#This Row],[Duration]]&lt;=30, "10 to 30 mins", calls[[#This Row],[Duration]]&lt;=60, "30 to 60 mins", calls[[#This Row],[Duration]]&lt;=120, "1 to 2 hours", TRUE, "More than 2 hours")</f>
        <v>1 to 2 hours</v>
      </c>
      <c r="O566">
        <f>ROUND(calls[[#This Row],[Satisfaction Rating]],0)</f>
        <v>4</v>
      </c>
    </row>
    <row r="567" spans="2:15" x14ac:dyDescent="0.25">
      <c r="B567" t="s">
        <v>588</v>
      </c>
      <c r="C567" t="s">
        <v>18</v>
      </c>
      <c r="D567">
        <f>VLOOKUP(C567,customers[],3,0)</f>
        <v>43</v>
      </c>
      <c r="E567" t="str">
        <f>VLOOKUP(C567,customers[],2,0)</f>
        <v>Female</v>
      </c>
      <c r="F567" t="str">
        <f>VLOOKUP(C567,customers[],4,0)</f>
        <v>Cleveland</v>
      </c>
      <c r="G567">
        <v>74</v>
      </c>
      <c r="H567" s="17" t="s">
        <v>9</v>
      </c>
      <c r="I567" s="18">
        <v>45098</v>
      </c>
      <c r="J567">
        <v>117</v>
      </c>
      <c r="K567">
        <v>4.8</v>
      </c>
      <c r="L567">
        <f>IF(MONTH(calls[[#This Row],[Date of Call]])&lt;=6, YEAR(calls[[#This Row],[Date of Call]]), YEAR(calls[[#This Row],[Date of Call]])+1)</f>
        <v>2023</v>
      </c>
      <c r="M567" t="str">
        <f>TEXT(calls[[#This Row],[Date of Call]],"DDDD")</f>
        <v>الأربعاء</v>
      </c>
      <c r="N567" t="str" cm="1">
        <f t="array" ref="N567">_xlfn.IFS(calls[[#This Row],[Duration]]&lt;=10,"Under 10 mins", calls[[#This Row],[Duration]]&lt;=30, "10 to 30 mins", calls[[#This Row],[Duration]]&lt;=60, "30 to 60 mins", calls[[#This Row],[Duration]]&lt;=120, "1 to 2 hours", TRUE, "More than 2 hours")</f>
        <v>1 to 2 hours</v>
      </c>
      <c r="O567">
        <f>ROUND(calls[[#This Row],[Satisfaction Rating]],0)</f>
        <v>5</v>
      </c>
    </row>
    <row r="568" spans="2:15" x14ac:dyDescent="0.25">
      <c r="B568" t="s">
        <v>589</v>
      </c>
      <c r="C568" t="s">
        <v>14</v>
      </c>
      <c r="D568">
        <f>VLOOKUP(C568,customers[],3,0)</f>
        <v>22</v>
      </c>
      <c r="E568" t="str">
        <f>VLOOKUP(C568,customers[],2,0)</f>
        <v>Female</v>
      </c>
      <c r="F568" t="str">
        <f>VLOOKUP(C568,customers[],4,0)</f>
        <v>Cleveland</v>
      </c>
      <c r="G568">
        <v>52</v>
      </c>
      <c r="H568" s="17" t="s">
        <v>10</v>
      </c>
      <c r="I568" s="18">
        <v>45100</v>
      </c>
      <c r="J568">
        <v>70</v>
      </c>
      <c r="K568">
        <v>4.0999999999999996</v>
      </c>
      <c r="L568">
        <f>IF(MONTH(calls[[#This Row],[Date of Call]])&lt;=6, YEAR(calls[[#This Row],[Date of Call]]), YEAR(calls[[#This Row],[Date of Call]])+1)</f>
        <v>2023</v>
      </c>
      <c r="M568" t="str">
        <f>TEXT(calls[[#This Row],[Date of Call]],"DDDD")</f>
        <v>الجمعة</v>
      </c>
      <c r="N568" t="str" cm="1">
        <f t="array" ref="N568">_xlfn.IFS(calls[[#This Row],[Duration]]&lt;=10,"Under 10 mins", calls[[#This Row],[Duration]]&lt;=30, "10 to 30 mins", calls[[#This Row],[Duration]]&lt;=60, "30 to 60 mins", calls[[#This Row],[Duration]]&lt;=120, "1 to 2 hours", TRUE, "More than 2 hours")</f>
        <v>30 to 60 mins</v>
      </c>
      <c r="O568">
        <f>ROUND(calls[[#This Row],[Satisfaction Rating]],0)</f>
        <v>4</v>
      </c>
    </row>
    <row r="569" spans="2:15" x14ac:dyDescent="0.25">
      <c r="B569" t="s">
        <v>590</v>
      </c>
      <c r="C569" t="s">
        <v>14</v>
      </c>
      <c r="D569">
        <f>VLOOKUP(C569,customers[],3,0)</f>
        <v>22</v>
      </c>
      <c r="E569" t="str">
        <f>VLOOKUP(C569,customers[],2,0)</f>
        <v>Female</v>
      </c>
      <c r="F569" t="str">
        <f>VLOOKUP(C569,customers[],4,0)</f>
        <v>Cleveland</v>
      </c>
      <c r="G569">
        <v>74</v>
      </c>
      <c r="H569" s="17" t="s">
        <v>8</v>
      </c>
      <c r="I569" s="18">
        <v>45100</v>
      </c>
      <c r="J569">
        <v>37</v>
      </c>
      <c r="K569">
        <v>2.7</v>
      </c>
      <c r="L569">
        <f>IF(MONTH(calls[[#This Row],[Date of Call]])&lt;=6, YEAR(calls[[#This Row],[Date of Call]]), YEAR(calls[[#This Row],[Date of Call]])+1)</f>
        <v>2023</v>
      </c>
      <c r="M569" t="str">
        <f>TEXT(calls[[#This Row],[Date of Call]],"DDDD")</f>
        <v>الجمعة</v>
      </c>
      <c r="N569" t="str" cm="1">
        <f t="array" ref="N569">_xlfn.IFS(calls[[#This Row],[Duration]]&lt;=10,"Under 10 mins", calls[[#This Row],[Duration]]&lt;=30, "10 to 30 mins", calls[[#This Row],[Duration]]&lt;=60, "30 to 60 mins", calls[[#This Row],[Duration]]&lt;=120, "1 to 2 hours", TRUE, "More than 2 hours")</f>
        <v>1 to 2 hours</v>
      </c>
      <c r="O569">
        <f>ROUND(calls[[#This Row],[Satisfaction Rating]],0)</f>
        <v>3</v>
      </c>
    </row>
    <row r="570" spans="2:15" x14ac:dyDescent="0.25">
      <c r="B570" t="s">
        <v>591</v>
      </c>
      <c r="C570" t="s">
        <v>22</v>
      </c>
      <c r="D570">
        <f>VLOOKUP(C570,customers[],3,0)</f>
        <v>37</v>
      </c>
      <c r="E570" t="str">
        <f>VLOOKUP(C570,customers[],2,0)</f>
        <v>Male</v>
      </c>
      <c r="F570" t="str">
        <f>VLOOKUP(C570,customers[],4,0)</f>
        <v>Columbus</v>
      </c>
      <c r="G570">
        <v>96</v>
      </c>
      <c r="H570" s="17" t="s">
        <v>9</v>
      </c>
      <c r="I570" s="18">
        <v>45100</v>
      </c>
      <c r="J570">
        <v>46</v>
      </c>
      <c r="K570">
        <v>2.9</v>
      </c>
      <c r="L570">
        <f>IF(MONTH(calls[[#This Row],[Date of Call]])&lt;=6, YEAR(calls[[#This Row],[Date of Call]]), YEAR(calls[[#This Row],[Date of Call]])+1)</f>
        <v>2023</v>
      </c>
      <c r="M570" t="str">
        <f>TEXT(calls[[#This Row],[Date of Call]],"DDDD")</f>
        <v>الجمعة</v>
      </c>
      <c r="N570" t="str" cm="1">
        <f t="array" ref="N570">_xlfn.IFS(calls[[#This Row],[Duration]]&lt;=10,"Under 10 mins", calls[[#This Row],[Duration]]&lt;=30, "10 to 30 mins", calls[[#This Row],[Duration]]&lt;=60, "30 to 60 mins", calls[[#This Row],[Duration]]&lt;=120, "1 to 2 hours", TRUE, "More than 2 hours")</f>
        <v>1 to 2 hours</v>
      </c>
      <c r="O570">
        <f>ROUND(calls[[#This Row],[Satisfaction Rating]],0)</f>
        <v>3</v>
      </c>
    </row>
    <row r="571" spans="2:15" x14ac:dyDescent="0.25">
      <c r="B571" t="s">
        <v>592</v>
      </c>
      <c r="C571" t="s">
        <v>13</v>
      </c>
      <c r="D571">
        <f>VLOOKUP(C571,customers[],3,0)</f>
        <v>37</v>
      </c>
      <c r="E571" t="str">
        <f>VLOOKUP(C571,customers[],2,0)</f>
        <v>Female</v>
      </c>
      <c r="F571" t="str">
        <f>VLOOKUP(C571,customers[],4,0)</f>
        <v>Cleveland</v>
      </c>
      <c r="G571">
        <v>104</v>
      </c>
      <c r="H571" s="17" t="s">
        <v>5</v>
      </c>
      <c r="I571" s="18">
        <v>45100</v>
      </c>
      <c r="J571">
        <v>136</v>
      </c>
      <c r="K571">
        <v>5</v>
      </c>
      <c r="L571">
        <f>IF(MONTH(calls[[#This Row],[Date of Call]])&lt;=6, YEAR(calls[[#This Row],[Date of Call]]), YEAR(calls[[#This Row],[Date of Call]])+1)</f>
        <v>2023</v>
      </c>
      <c r="M571" t="str">
        <f>TEXT(calls[[#This Row],[Date of Call]],"DDDD")</f>
        <v>الجمعة</v>
      </c>
      <c r="N571" t="str" cm="1">
        <f t="array" ref="N571">_xlfn.IFS(calls[[#This Row],[Duration]]&lt;=10,"Under 10 mins", calls[[#This Row],[Duration]]&lt;=30, "10 to 30 mins", calls[[#This Row],[Duration]]&lt;=60, "30 to 60 mins", calls[[#This Row],[Duration]]&lt;=120, "1 to 2 hours", TRUE, "More than 2 hours")</f>
        <v>1 to 2 hours</v>
      </c>
      <c r="O571">
        <f>ROUND(calls[[#This Row],[Satisfaction Rating]],0)</f>
        <v>5</v>
      </c>
    </row>
    <row r="572" spans="2:15" x14ac:dyDescent="0.25">
      <c r="B572" t="s">
        <v>593</v>
      </c>
      <c r="C572" t="s">
        <v>22</v>
      </c>
      <c r="D572">
        <f>VLOOKUP(C572,customers[],3,0)</f>
        <v>37</v>
      </c>
      <c r="E572" t="str">
        <f>VLOOKUP(C572,customers[],2,0)</f>
        <v>Male</v>
      </c>
      <c r="F572" t="str">
        <f>VLOOKUP(C572,customers[],4,0)</f>
        <v>Columbus</v>
      </c>
      <c r="G572">
        <v>123</v>
      </c>
      <c r="H572" s="17" t="s">
        <v>9</v>
      </c>
      <c r="I572" s="18">
        <v>45101</v>
      </c>
      <c r="J572">
        <v>44</v>
      </c>
      <c r="K572">
        <v>4.5999999999999996</v>
      </c>
      <c r="L572">
        <f>IF(MONTH(calls[[#This Row],[Date of Call]])&lt;=6, YEAR(calls[[#This Row],[Date of Call]]), YEAR(calls[[#This Row],[Date of Call]])+1)</f>
        <v>2023</v>
      </c>
      <c r="M572" t="str">
        <f>TEXT(calls[[#This Row],[Date of Call]],"DDDD")</f>
        <v>السبت</v>
      </c>
      <c r="N572" t="str" cm="1">
        <f t="array" ref="N572">_xlfn.IFS(calls[[#This Row],[Duration]]&lt;=10,"Under 10 mins", calls[[#This Row],[Duration]]&lt;=30, "10 to 30 mins", calls[[#This Row],[Duration]]&lt;=60, "30 to 60 mins", calls[[#This Row],[Duration]]&lt;=120, "1 to 2 hours", TRUE, "More than 2 hours")</f>
        <v>More than 2 hours</v>
      </c>
      <c r="O572">
        <f>ROUND(calls[[#This Row],[Satisfaction Rating]],0)</f>
        <v>5</v>
      </c>
    </row>
    <row r="573" spans="2:15" x14ac:dyDescent="0.25">
      <c r="B573" t="s">
        <v>594</v>
      </c>
      <c r="C573" t="s">
        <v>21</v>
      </c>
      <c r="D573">
        <f>VLOOKUP(C573,customers[],3,0)</f>
        <v>25</v>
      </c>
      <c r="E573" t="str">
        <f>VLOOKUP(C573,customers[],2,0)</f>
        <v>Female</v>
      </c>
      <c r="F573" t="str">
        <f>VLOOKUP(C573,customers[],4,0)</f>
        <v>Columbus</v>
      </c>
      <c r="G573">
        <v>100</v>
      </c>
      <c r="H573" s="17" t="s">
        <v>12</v>
      </c>
      <c r="I573" s="18">
        <v>45101</v>
      </c>
      <c r="J573">
        <v>69</v>
      </c>
      <c r="K573">
        <v>3</v>
      </c>
      <c r="L573">
        <f>IF(MONTH(calls[[#This Row],[Date of Call]])&lt;=6, YEAR(calls[[#This Row],[Date of Call]]), YEAR(calls[[#This Row],[Date of Call]])+1)</f>
        <v>2023</v>
      </c>
      <c r="M573" t="str">
        <f>TEXT(calls[[#This Row],[Date of Call]],"DDDD")</f>
        <v>السبت</v>
      </c>
      <c r="N573" t="str" cm="1">
        <f t="array" ref="N573">_xlfn.IFS(calls[[#This Row],[Duration]]&lt;=10,"Under 10 mins", calls[[#This Row],[Duration]]&lt;=30, "10 to 30 mins", calls[[#This Row],[Duration]]&lt;=60, "30 to 60 mins", calls[[#This Row],[Duration]]&lt;=120, "1 to 2 hours", TRUE, "More than 2 hours")</f>
        <v>1 to 2 hours</v>
      </c>
      <c r="O573">
        <f>ROUND(calls[[#This Row],[Satisfaction Rating]],0)</f>
        <v>3</v>
      </c>
    </row>
    <row r="574" spans="2:15" x14ac:dyDescent="0.25">
      <c r="B574" t="s">
        <v>595</v>
      </c>
      <c r="C574" t="s">
        <v>13</v>
      </c>
      <c r="D574">
        <f>VLOOKUP(C574,customers[],3,0)</f>
        <v>37</v>
      </c>
      <c r="E574" t="str">
        <f>VLOOKUP(C574,customers[],2,0)</f>
        <v>Female</v>
      </c>
      <c r="F574" t="str">
        <f>VLOOKUP(C574,customers[],4,0)</f>
        <v>Cleveland</v>
      </c>
      <c r="G574">
        <v>35</v>
      </c>
      <c r="H574" s="17" t="s">
        <v>10</v>
      </c>
      <c r="I574" s="18">
        <v>45102</v>
      </c>
      <c r="J574">
        <v>86</v>
      </c>
      <c r="K574">
        <v>4.5999999999999996</v>
      </c>
      <c r="L574">
        <f>IF(MONTH(calls[[#This Row],[Date of Call]])&lt;=6, YEAR(calls[[#This Row],[Date of Call]]), YEAR(calls[[#This Row],[Date of Call]])+1)</f>
        <v>2023</v>
      </c>
      <c r="M574" t="str">
        <f>TEXT(calls[[#This Row],[Date of Call]],"DDDD")</f>
        <v>الأحد</v>
      </c>
      <c r="N574" t="str" cm="1">
        <f t="array" ref="N574">_xlfn.IFS(calls[[#This Row],[Duration]]&lt;=10,"Under 10 mins", calls[[#This Row],[Duration]]&lt;=30, "10 to 30 mins", calls[[#This Row],[Duration]]&lt;=60, "30 to 60 mins", calls[[#This Row],[Duration]]&lt;=120, "1 to 2 hours", TRUE, "More than 2 hours")</f>
        <v>30 to 60 mins</v>
      </c>
      <c r="O574">
        <f>ROUND(calls[[#This Row],[Satisfaction Rating]],0)</f>
        <v>5</v>
      </c>
    </row>
    <row r="575" spans="2:15" x14ac:dyDescent="0.25">
      <c r="B575" t="s">
        <v>596</v>
      </c>
      <c r="C575" t="s">
        <v>14</v>
      </c>
      <c r="D575">
        <f>VLOOKUP(C575,customers[],3,0)</f>
        <v>22</v>
      </c>
      <c r="E575" t="str">
        <f>VLOOKUP(C575,customers[],2,0)</f>
        <v>Female</v>
      </c>
      <c r="F575" t="str">
        <f>VLOOKUP(C575,customers[],4,0)</f>
        <v>Cleveland</v>
      </c>
      <c r="G575">
        <v>123</v>
      </c>
      <c r="H575" s="17" t="s">
        <v>5</v>
      </c>
      <c r="I575" s="18">
        <v>45102</v>
      </c>
      <c r="J575">
        <v>68</v>
      </c>
      <c r="K575">
        <v>4.5</v>
      </c>
      <c r="L575">
        <f>IF(MONTH(calls[[#This Row],[Date of Call]])&lt;=6, YEAR(calls[[#This Row],[Date of Call]]), YEAR(calls[[#This Row],[Date of Call]])+1)</f>
        <v>2023</v>
      </c>
      <c r="M575" t="str">
        <f>TEXT(calls[[#This Row],[Date of Call]],"DDDD")</f>
        <v>الأحد</v>
      </c>
      <c r="N575" t="str" cm="1">
        <f t="array" ref="N575">_xlfn.IFS(calls[[#This Row],[Duration]]&lt;=10,"Under 10 mins", calls[[#This Row],[Duration]]&lt;=30, "10 to 30 mins", calls[[#This Row],[Duration]]&lt;=60, "30 to 60 mins", calls[[#This Row],[Duration]]&lt;=120, "1 to 2 hours", TRUE, "More than 2 hours")</f>
        <v>More than 2 hours</v>
      </c>
      <c r="O575">
        <f>ROUND(calls[[#This Row],[Satisfaction Rating]],0)</f>
        <v>5</v>
      </c>
    </row>
    <row r="576" spans="2:15" x14ac:dyDescent="0.25">
      <c r="B576" t="s">
        <v>597</v>
      </c>
      <c r="C576" t="s">
        <v>23</v>
      </c>
      <c r="D576">
        <f>VLOOKUP(C576,customers[],3,0)</f>
        <v>31</v>
      </c>
      <c r="E576" t="str">
        <f>VLOOKUP(C576,customers[],2,0)</f>
        <v>Male</v>
      </c>
      <c r="F576" t="str">
        <f>VLOOKUP(C576,customers[],4,0)</f>
        <v>Cleveland</v>
      </c>
      <c r="G576">
        <v>133</v>
      </c>
      <c r="H576" s="17" t="s">
        <v>10</v>
      </c>
      <c r="I576" s="18">
        <v>45103</v>
      </c>
      <c r="J576">
        <v>21</v>
      </c>
      <c r="K576">
        <v>3.7</v>
      </c>
      <c r="L576">
        <f>IF(MONTH(calls[[#This Row],[Date of Call]])&lt;=6, YEAR(calls[[#This Row],[Date of Call]]), YEAR(calls[[#This Row],[Date of Call]])+1)</f>
        <v>2023</v>
      </c>
      <c r="M576" t="str">
        <f>TEXT(calls[[#This Row],[Date of Call]],"DDDD")</f>
        <v>الإثنين</v>
      </c>
      <c r="N576" t="str" cm="1">
        <f t="array" ref="N576">_xlfn.IFS(calls[[#This Row],[Duration]]&lt;=10,"Under 10 mins", calls[[#This Row],[Duration]]&lt;=30, "10 to 30 mins", calls[[#This Row],[Duration]]&lt;=60, "30 to 60 mins", calls[[#This Row],[Duration]]&lt;=120, "1 to 2 hours", TRUE, "More than 2 hours")</f>
        <v>More than 2 hours</v>
      </c>
      <c r="O576">
        <f>ROUND(calls[[#This Row],[Satisfaction Rating]],0)</f>
        <v>4</v>
      </c>
    </row>
    <row r="577" spans="2:15" x14ac:dyDescent="0.25">
      <c r="B577" t="s">
        <v>598</v>
      </c>
      <c r="C577" t="s">
        <v>22</v>
      </c>
      <c r="D577">
        <f>VLOOKUP(C577,customers[],3,0)</f>
        <v>37</v>
      </c>
      <c r="E577" t="str">
        <f>VLOOKUP(C577,customers[],2,0)</f>
        <v>Male</v>
      </c>
      <c r="F577" t="str">
        <f>VLOOKUP(C577,customers[],4,0)</f>
        <v>Columbus</v>
      </c>
      <c r="G577">
        <v>126</v>
      </c>
      <c r="H577" s="17" t="s">
        <v>8</v>
      </c>
      <c r="I577" s="18">
        <v>45103</v>
      </c>
      <c r="J577">
        <v>190</v>
      </c>
      <c r="K577">
        <v>2.4</v>
      </c>
      <c r="L577">
        <f>IF(MONTH(calls[[#This Row],[Date of Call]])&lt;=6, YEAR(calls[[#This Row],[Date of Call]]), YEAR(calls[[#This Row],[Date of Call]])+1)</f>
        <v>2023</v>
      </c>
      <c r="M577" t="str">
        <f>TEXT(calls[[#This Row],[Date of Call]],"DDDD")</f>
        <v>الإثنين</v>
      </c>
      <c r="N577" t="str" cm="1">
        <f t="array" ref="N577">_xlfn.IFS(calls[[#This Row],[Duration]]&lt;=10,"Under 10 mins", calls[[#This Row],[Duration]]&lt;=30, "10 to 30 mins", calls[[#This Row],[Duration]]&lt;=60, "30 to 60 mins", calls[[#This Row],[Duration]]&lt;=120, "1 to 2 hours", TRUE, "More than 2 hours")</f>
        <v>More than 2 hours</v>
      </c>
      <c r="O577">
        <f>ROUND(calls[[#This Row],[Satisfaction Rating]],0)</f>
        <v>2</v>
      </c>
    </row>
    <row r="578" spans="2:15" x14ac:dyDescent="0.25">
      <c r="B578" t="s">
        <v>599</v>
      </c>
      <c r="C578" t="s">
        <v>14</v>
      </c>
      <c r="D578">
        <f>VLOOKUP(C578,customers[],3,0)</f>
        <v>22</v>
      </c>
      <c r="E578" t="str">
        <f>VLOOKUP(C578,customers[],2,0)</f>
        <v>Female</v>
      </c>
      <c r="F578" t="str">
        <f>VLOOKUP(C578,customers[],4,0)</f>
        <v>Cleveland</v>
      </c>
      <c r="G578">
        <v>39</v>
      </c>
      <c r="H578" s="17" t="s">
        <v>9</v>
      </c>
      <c r="I578" s="18">
        <v>45103</v>
      </c>
      <c r="J578">
        <v>176</v>
      </c>
      <c r="K578">
        <v>4.3</v>
      </c>
      <c r="L578">
        <f>IF(MONTH(calls[[#This Row],[Date of Call]])&lt;=6, YEAR(calls[[#This Row],[Date of Call]]), YEAR(calls[[#This Row],[Date of Call]])+1)</f>
        <v>2023</v>
      </c>
      <c r="M578" t="str">
        <f>TEXT(calls[[#This Row],[Date of Call]],"DDDD")</f>
        <v>الإثنين</v>
      </c>
      <c r="N578" t="str" cm="1">
        <f t="array" ref="N578">_xlfn.IFS(calls[[#This Row],[Duration]]&lt;=10,"Under 10 mins", calls[[#This Row],[Duration]]&lt;=30, "10 to 30 mins", calls[[#This Row],[Duration]]&lt;=60, "30 to 60 mins", calls[[#This Row],[Duration]]&lt;=120, "1 to 2 hours", TRUE, "More than 2 hours")</f>
        <v>30 to 60 mins</v>
      </c>
      <c r="O578">
        <f>ROUND(calls[[#This Row],[Satisfaction Rating]],0)</f>
        <v>4</v>
      </c>
    </row>
    <row r="579" spans="2:15" x14ac:dyDescent="0.25">
      <c r="B579" t="s">
        <v>600</v>
      </c>
      <c r="C579" t="s">
        <v>18</v>
      </c>
      <c r="D579">
        <f>VLOOKUP(C579,customers[],3,0)</f>
        <v>43</v>
      </c>
      <c r="E579" t="str">
        <f>VLOOKUP(C579,customers[],2,0)</f>
        <v>Female</v>
      </c>
      <c r="F579" t="str">
        <f>VLOOKUP(C579,customers[],4,0)</f>
        <v>Cleveland</v>
      </c>
      <c r="G579">
        <v>31</v>
      </c>
      <c r="H579" s="17" t="s">
        <v>5</v>
      </c>
      <c r="I579" s="18">
        <v>45103</v>
      </c>
      <c r="J579">
        <v>172</v>
      </c>
      <c r="K579">
        <v>3.9</v>
      </c>
      <c r="L579">
        <f>IF(MONTH(calls[[#This Row],[Date of Call]])&lt;=6, YEAR(calls[[#This Row],[Date of Call]]), YEAR(calls[[#This Row],[Date of Call]])+1)</f>
        <v>2023</v>
      </c>
      <c r="M579" t="str">
        <f>TEXT(calls[[#This Row],[Date of Call]],"DDDD")</f>
        <v>الإثنين</v>
      </c>
      <c r="N579" t="str" cm="1">
        <f t="array" ref="N579">_xlfn.IFS(calls[[#This Row],[Duration]]&lt;=10,"Under 10 mins", calls[[#This Row],[Duration]]&lt;=30, "10 to 30 mins", calls[[#This Row],[Duration]]&lt;=60, "30 to 60 mins", calls[[#This Row],[Duration]]&lt;=120, "1 to 2 hours", TRUE, "More than 2 hours")</f>
        <v>30 to 60 mins</v>
      </c>
      <c r="O579">
        <f>ROUND(calls[[#This Row],[Satisfaction Rating]],0)</f>
        <v>4</v>
      </c>
    </row>
    <row r="580" spans="2:15" x14ac:dyDescent="0.25">
      <c r="B580" t="s">
        <v>601</v>
      </c>
      <c r="C580" t="s">
        <v>7</v>
      </c>
      <c r="D580">
        <f>VLOOKUP(C580,customers[],3,0)</f>
        <v>30</v>
      </c>
      <c r="E580" t="str">
        <f>VLOOKUP(C580,customers[],2,0)</f>
        <v>Female</v>
      </c>
      <c r="F580" t="str">
        <f>VLOOKUP(C580,customers[],4,0)</f>
        <v>Cincinnati</v>
      </c>
      <c r="G580">
        <v>25</v>
      </c>
      <c r="H580" s="17" t="s">
        <v>10</v>
      </c>
      <c r="I580" s="18">
        <v>45103</v>
      </c>
      <c r="J580">
        <v>84</v>
      </c>
      <c r="K580">
        <v>4.5</v>
      </c>
      <c r="L580">
        <f>IF(MONTH(calls[[#This Row],[Date of Call]])&lt;=6, YEAR(calls[[#This Row],[Date of Call]]), YEAR(calls[[#This Row],[Date of Call]])+1)</f>
        <v>2023</v>
      </c>
      <c r="M580" t="str">
        <f>TEXT(calls[[#This Row],[Date of Call]],"DDDD")</f>
        <v>الإثنين</v>
      </c>
      <c r="N580" t="str" cm="1">
        <f t="array" ref="N580">_xlfn.IFS(calls[[#This Row],[Duration]]&lt;=10,"Under 10 mins", calls[[#This Row],[Duration]]&lt;=30, "10 to 30 mins", calls[[#This Row],[Duration]]&lt;=60, "30 to 60 mins", calls[[#This Row],[Duration]]&lt;=120, "1 to 2 hours", TRUE, "More than 2 hours")</f>
        <v>10 to 30 mins</v>
      </c>
      <c r="O580">
        <f>ROUND(calls[[#This Row],[Satisfaction Rating]],0)</f>
        <v>5</v>
      </c>
    </row>
    <row r="581" spans="2:15" x14ac:dyDescent="0.25">
      <c r="B581" t="s">
        <v>602</v>
      </c>
      <c r="C581" t="s">
        <v>11</v>
      </c>
      <c r="D581">
        <f>VLOOKUP(C581,customers[],3,0)</f>
        <v>36</v>
      </c>
      <c r="E581" t="str">
        <f>VLOOKUP(C581,customers[],2,0)</f>
        <v>Male</v>
      </c>
      <c r="F581" t="str">
        <f>VLOOKUP(C581,customers[],4,0)</f>
        <v>Cincinnati</v>
      </c>
      <c r="G581">
        <v>132</v>
      </c>
      <c r="H581" s="17" t="s">
        <v>12</v>
      </c>
      <c r="I581" s="18">
        <v>45104</v>
      </c>
      <c r="J581">
        <v>42</v>
      </c>
      <c r="K581">
        <v>5</v>
      </c>
      <c r="L581">
        <f>IF(MONTH(calls[[#This Row],[Date of Call]])&lt;=6, YEAR(calls[[#This Row],[Date of Call]]), YEAR(calls[[#This Row],[Date of Call]])+1)</f>
        <v>2023</v>
      </c>
      <c r="M581" t="str">
        <f>TEXT(calls[[#This Row],[Date of Call]],"DDDD")</f>
        <v>الثلاثاء</v>
      </c>
      <c r="N581" t="str" cm="1">
        <f t="array" ref="N581">_xlfn.IFS(calls[[#This Row],[Duration]]&lt;=10,"Under 10 mins", calls[[#This Row],[Duration]]&lt;=30, "10 to 30 mins", calls[[#This Row],[Duration]]&lt;=60, "30 to 60 mins", calls[[#This Row],[Duration]]&lt;=120, "1 to 2 hours", TRUE, "More than 2 hours")</f>
        <v>More than 2 hours</v>
      </c>
      <c r="O581">
        <f>ROUND(calls[[#This Row],[Satisfaction Rating]],0)</f>
        <v>5</v>
      </c>
    </row>
    <row r="582" spans="2:15" x14ac:dyDescent="0.25">
      <c r="B582" t="s">
        <v>603</v>
      </c>
      <c r="C582" t="s">
        <v>13</v>
      </c>
      <c r="D582">
        <f>VLOOKUP(C582,customers[],3,0)</f>
        <v>37</v>
      </c>
      <c r="E582" t="str">
        <f>VLOOKUP(C582,customers[],2,0)</f>
        <v>Female</v>
      </c>
      <c r="F582" t="str">
        <f>VLOOKUP(C582,customers[],4,0)</f>
        <v>Cleveland</v>
      </c>
      <c r="G582">
        <v>63</v>
      </c>
      <c r="H582" s="17" t="s">
        <v>8</v>
      </c>
      <c r="I582" s="18">
        <v>45104</v>
      </c>
      <c r="J582">
        <v>70</v>
      </c>
      <c r="K582">
        <v>1.6</v>
      </c>
      <c r="L582">
        <f>IF(MONTH(calls[[#This Row],[Date of Call]])&lt;=6, YEAR(calls[[#This Row],[Date of Call]]), YEAR(calls[[#This Row],[Date of Call]])+1)</f>
        <v>2023</v>
      </c>
      <c r="M582" t="str">
        <f>TEXT(calls[[#This Row],[Date of Call]],"DDDD")</f>
        <v>الثلاثاء</v>
      </c>
      <c r="N582" t="str" cm="1">
        <f t="array" ref="N582">_xlfn.IFS(calls[[#This Row],[Duration]]&lt;=10,"Under 10 mins", calls[[#This Row],[Duration]]&lt;=30, "10 to 30 mins", calls[[#This Row],[Duration]]&lt;=60, "30 to 60 mins", calls[[#This Row],[Duration]]&lt;=120, "1 to 2 hours", TRUE, "More than 2 hours")</f>
        <v>1 to 2 hours</v>
      </c>
      <c r="O582">
        <f>ROUND(calls[[#This Row],[Satisfaction Rating]],0)</f>
        <v>2</v>
      </c>
    </row>
    <row r="583" spans="2:15" x14ac:dyDescent="0.25">
      <c r="B583" t="s">
        <v>604</v>
      </c>
      <c r="C583" t="s">
        <v>21</v>
      </c>
      <c r="D583">
        <f>VLOOKUP(C583,customers[],3,0)</f>
        <v>25</v>
      </c>
      <c r="E583" t="str">
        <f>VLOOKUP(C583,customers[],2,0)</f>
        <v>Female</v>
      </c>
      <c r="F583" t="str">
        <f>VLOOKUP(C583,customers[],4,0)</f>
        <v>Columbus</v>
      </c>
      <c r="G583">
        <v>135</v>
      </c>
      <c r="H583" s="17" t="s">
        <v>12</v>
      </c>
      <c r="I583" s="18">
        <v>45104</v>
      </c>
      <c r="J583">
        <v>60</v>
      </c>
      <c r="K583">
        <v>4.3</v>
      </c>
      <c r="L583">
        <f>IF(MONTH(calls[[#This Row],[Date of Call]])&lt;=6, YEAR(calls[[#This Row],[Date of Call]]), YEAR(calls[[#This Row],[Date of Call]])+1)</f>
        <v>2023</v>
      </c>
      <c r="M583" t="str">
        <f>TEXT(calls[[#This Row],[Date of Call]],"DDDD")</f>
        <v>الثلاثاء</v>
      </c>
      <c r="N583" t="str" cm="1">
        <f t="array" ref="N583">_xlfn.IFS(calls[[#This Row],[Duration]]&lt;=10,"Under 10 mins", calls[[#This Row],[Duration]]&lt;=30, "10 to 30 mins", calls[[#This Row],[Duration]]&lt;=60, "30 to 60 mins", calls[[#This Row],[Duration]]&lt;=120, "1 to 2 hours", TRUE, "More than 2 hours")</f>
        <v>More than 2 hours</v>
      </c>
      <c r="O583">
        <f>ROUND(calls[[#This Row],[Satisfaction Rating]],0)</f>
        <v>4</v>
      </c>
    </row>
    <row r="584" spans="2:15" x14ac:dyDescent="0.25">
      <c r="B584" t="s">
        <v>605</v>
      </c>
      <c r="C584" t="s">
        <v>17</v>
      </c>
      <c r="D584">
        <f>VLOOKUP(C584,customers[],3,0)</f>
        <v>30</v>
      </c>
      <c r="E584" t="str">
        <f>VLOOKUP(C584,customers[],2,0)</f>
        <v>Female</v>
      </c>
      <c r="F584" t="str">
        <f>VLOOKUP(C584,customers[],4,0)</f>
        <v>Cleveland</v>
      </c>
      <c r="G584">
        <v>101</v>
      </c>
      <c r="H584" s="17" t="s">
        <v>8</v>
      </c>
      <c r="I584" s="18">
        <v>45104</v>
      </c>
      <c r="J584">
        <v>84</v>
      </c>
      <c r="K584">
        <v>3.5</v>
      </c>
      <c r="L584">
        <f>IF(MONTH(calls[[#This Row],[Date of Call]])&lt;=6, YEAR(calls[[#This Row],[Date of Call]]), YEAR(calls[[#This Row],[Date of Call]])+1)</f>
        <v>2023</v>
      </c>
      <c r="M584" t="str">
        <f>TEXT(calls[[#This Row],[Date of Call]],"DDDD")</f>
        <v>الثلاثاء</v>
      </c>
      <c r="N584" t="str" cm="1">
        <f t="array" ref="N584">_xlfn.IFS(calls[[#This Row],[Duration]]&lt;=10,"Under 10 mins", calls[[#This Row],[Duration]]&lt;=30, "10 to 30 mins", calls[[#This Row],[Duration]]&lt;=60, "30 to 60 mins", calls[[#This Row],[Duration]]&lt;=120, "1 to 2 hours", TRUE, "More than 2 hours")</f>
        <v>1 to 2 hours</v>
      </c>
      <c r="O584">
        <f>ROUND(calls[[#This Row],[Satisfaction Rating]],0)</f>
        <v>4</v>
      </c>
    </row>
    <row r="585" spans="2:15" x14ac:dyDescent="0.25">
      <c r="B585" t="s">
        <v>606</v>
      </c>
      <c r="C585" t="s">
        <v>23</v>
      </c>
      <c r="D585">
        <f>VLOOKUP(C585,customers[],3,0)</f>
        <v>31</v>
      </c>
      <c r="E585" t="str">
        <f>VLOOKUP(C585,customers[],2,0)</f>
        <v>Male</v>
      </c>
      <c r="F585" t="str">
        <f>VLOOKUP(C585,customers[],4,0)</f>
        <v>Cleveland</v>
      </c>
      <c r="G585">
        <v>80</v>
      </c>
      <c r="H585" s="17" t="s">
        <v>9</v>
      </c>
      <c r="I585" s="18">
        <v>45105</v>
      </c>
      <c r="J585">
        <v>68</v>
      </c>
      <c r="K585">
        <v>3.1</v>
      </c>
      <c r="L585">
        <f>IF(MONTH(calls[[#This Row],[Date of Call]])&lt;=6, YEAR(calls[[#This Row],[Date of Call]]), YEAR(calls[[#This Row],[Date of Call]])+1)</f>
        <v>2023</v>
      </c>
      <c r="M585" t="str">
        <f>TEXT(calls[[#This Row],[Date of Call]],"DDDD")</f>
        <v>الأربعاء</v>
      </c>
      <c r="N585" t="str" cm="1">
        <f t="array" ref="N585">_xlfn.IFS(calls[[#This Row],[Duration]]&lt;=10,"Under 10 mins", calls[[#This Row],[Duration]]&lt;=30, "10 to 30 mins", calls[[#This Row],[Duration]]&lt;=60, "30 to 60 mins", calls[[#This Row],[Duration]]&lt;=120, "1 to 2 hours", TRUE, "More than 2 hours")</f>
        <v>1 to 2 hours</v>
      </c>
      <c r="O585">
        <f>ROUND(calls[[#This Row],[Satisfaction Rating]],0)</f>
        <v>3</v>
      </c>
    </row>
    <row r="586" spans="2:15" x14ac:dyDescent="0.25">
      <c r="B586" t="s">
        <v>607</v>
      </c>
      <c r="C586" t="s">
        <v>16</v>
      </c>
      <c r="D586">
        <f>VLOOKUP(C586,customers[],3,0)</f>
        <v>41</v>
      </c>
      <c r="E586" t="str">
        <f>VLOOKUP(C586,customers[],2,0)</f>
        <v>Male</v>
      </c>
      <c r="F586" t="str">
        <f>VLOOKUP(C586,customers[],4,0)</f>
        <v>Columbus</v>
      </c>
      <c r="G586">
        <v>28</v>
      </c>
      <c r="H586" s="17" t="s">
        <v>9</v>
      </c>
      <c r="I586" s="18">
        <v>45105</v>
      </c>
      <c r="J586">
        <v>44</v>
      </c>
      <c r="K586">
        <v>2.9</v>
      </c>
      <c r="L586">
        <f>IF(MONTH(calls[[#This Row],[Date of Call]])&lt;=6, YEAR(calls[[#This Row],[Date of Call]]), YEAR(calls[[#This Row],[Date of Call]])+1)</f>
        <v>2023</v>
      </c>
      <c r="M586" t="str">
        <f>TEXT(calls[[#This Row],[Date of Call]],"DDDD")</f>
        <v>الأربعاء</v>
      </c>
      <c r="N586" t="str" cm="1">
        <f t="array" ref="N586">_xlfn.IFS(calls[[#This Row],[Duration]]&lt;=10,"Under 10 mins", calls[[#This Row],[Duration]]&lt;=30, "10 to 30 mins", calls[[#This Row],[Duration]]&lt;=60, "30 to 60 mins", calls[[#This Row],[Duration]]&lt;=120, "1 to 2 hours", TRUE, "More than 2 hours")</f>
        <v>10 to 30 mins</v>
      </c>
      <c r="O586">
        <f>ROUND(calls[[#This Row],[Satisfaction Rating]],0)</f>
        <v>3</v>
      </c>
    </row>
    <row r="587" spans="2:15" x14ac:dyDescent="0.25">
      <c r="B587" t="s">
        <v>608</v>
      </c>
      <c r="C587" t="s">
        <v>17</v>
      </c>
      <c r="D587">
        <f>VLOOKUP(C587,customers[],3,0)</f>
        <v>30</v>
      </c>
      <c r="E587" t="str">
        <f>VLOOKUP(C587,customers[],2,0)</f>
        <v>Female</v>
      </c>
      <c r="F587" t="str">
        <f>VLOOKUP(C587,customers[],4,0)</f>
        <v>Cleveland</v>
      </c>
      <c r="G587">
        <v>102</v>
      </c>
      <c r="H587" s="17" t="s">
        <v>12</v>
      </c>
      <c r="I587" s="18">
        <v>45106</v>
      </c>
      <c r="J587">
        <v>99</v>
      </c>
      <c r="K587">
        <v>3.2</v>
      </c>
      <c r="L587">
        <f>IF(MONTH(calls[[#This Row],[Date of Call]])&lt;=6, YEAR(calls[[#This Row],[Date of Call]]), YEAR(calls[[#This Row],[Date of Call]])+1)</f>
        <v>2023</v>
      </c>
      <c r="M587" t="str">
        <f>TEXT(calls[[#This Row],[Date of Call]],"DDDD")</f>
        <v>الخميس</v>
      </c>
      <c r="N587" t="str" cm="1">
        <f t="array" ref="N587">_xlfn.IFS(calls[[#This Row],[Duration]]&lt;=10,"Under 10 mins", calls[[#This Row],[Duration]]&lt;=30, "10 to 30 mins", calls[[#This Row],[Duration]]&lt;=60, "30 to 60 mins", calls[[#This Row],[Duration]]&lt;=120, "1 to 2 hours", TRUE, "More than 2 hours")</f>
        <v>1 to 2 hours</v>
      </c>
      <c r="O587">
        <f>ROUND(calls[[#This Row],[Satisfaction Rating]],0)</f>
        <v>3</v>
      </c>
    </row>
    <row r="588" spans="2:15" x14ac:dyDescent="0.25">
      <c r="B588" t="s">
        <v>609</v>
      </c>
      <c r="C588" t="s">
        <v>13</v>
      </c>
      <c r="D588">
        <f>VLOOKUP(C588,customers[],3,0)</f>
        <v>37</v>
      </c>
      <c r="E588" t="str">
        <f>VLOOKUP(C588,customers[],2,0)</f>
        <v>Female</v>
      </c>
      <c r="F588" t="str">
        <f>VLOOKUP(C588,customers[],4,0)</f>
        <v>Cleveland</v>
      </c>
      <c r="G588">
        <v>60</v>
      </c>
      <c r="H588" s="17" t="s">
        <v>12</v>
      </c>
      <c r="I588" s="18">
        <v>45107</v>
      </c>
      <c r="J588">
        <v>66</v>
      </c>
      <c r="K588">
        <v>3.2</v>
      </c>
      <c r="L588">
        <f>IF(MONTH(calls[[#This Row],[Date of Call]])&lt;=6, YEAR(calls[[#This Row],[Date of Call]]), YEAR(calls[[#This Row],[Date of Call]])+1)</f>
        <v>2023</v>
      </c>
      <c r="M588" t="str">
        <f>TEXT(calls[[#This Row],[Date of Call]],"DDDD")</f>
        <v>الجمعة</v>
      </c>
      <c r="N588" t="str" cm="1">
        <f t="array" ref="N588">_xlfn.IFS(calls[[#This Row],[Duration]]&lt;=10,"Under 10 mins", calls[[#This Row],[Duration]]&lt;=30, "10 to 30 mins", calls[[#This Row],[Duration]]&lt;=60, "30 to 60 mins", calls[[#This Row],[Duration]]&lt;=120, "1 to 2 hours", TRUE, "More than 2 hours")</f>
        <v>30 to 60 mins</v>
      </c>
      <c r="O588">
        <f>ROUND(calls[[#This Row],[Satisfaction Rating]],0)</f>
        <v>3</v>
      </c>
    </row>
    <row r="589" spans="2:15" x14ac:dyDescent="0.25">
      <c r="B589" t="s">
        <v>610</v>
      </c>
      <c r="C589" t="s">
        <v>20</v>
      </c>
      <c r="D589">
        <f>VLOOKUP(C589,customers[],3,0)</f>
        <v>38</v>
      </c>
      <c r="E589" t="str">
        <f>VLOOKUP(C589,customers[],2,0)</f>
        <v>Female</v>
      </c>
      <c r="F589" t="str">
        <f>VLOOKUP(C589,customers[],4,0)</f>
        <v>Columbus</v>
      </c>
      <c r="G589">
        <v>103</v>
      </c>
      <c r="H589" s="17" t="s">
        <v>12</v>
      </c>
      <c r="I589" s="18">
        <v>45107</v>
      </c>
      <c r="J589">
        <v>102</v>
      </c>
      <c r="K589">
        <v>4.5</v>
      </c>
      <c r="L589">
        <f>IF(MONTH(calls[[#This Row],[Date of Call]])&lt;=6, YEAR(calls[[#This Row],[Date of Call]]), YEAR(calls[[#This Row],[Date of Call]])+1)</f>
        <v>2023</v>
      </c>
      <c r="M589" t="str">
        <f>TEXT(calls[[#This Row],[Date of Call]],"DDDD")</f>
        <v>الجمعة</v>
      </c>
      <c r="N589" t="str" cm="1">
        <f t="array" ref="N589">_xlfn.IFS(calls[[#This Row],[Duration]]&lt;=10,"Under 10 mins", calls[[#This Row],[Duration]]&lt;=30, "10 to 30 mins", calls[[#This Row],[Duration]]&lt;=60, "30 to 60 mins", calls[[#This Row],[Duration]]&lt;=120, "1 to 2 hours", TRUE, "More than 2 hours")</f>
        <v>1 to 2 hours</v>
      </c>
      <c r="O589">
        <f>ROUND(calls[[#This Row],[Satisfaction Rating]],0)</f>
        <v>5</v>
      </c>
    </row>
    <row r="590" spans="2:15" x14ac:dyDescent="0.25">
      <c r="B590" t="s">
        <v>611</v>
      </c>
      <c r="C590" t="s">
        <v>23</v>
      </c>
      <c r="D590">
        <f>VLOOKUP(C590,customers[],3,0)</f>
        <v>31</v>
      </c>
      <c r="E590" t="str">
        <f>VLOOKUP(C590,customers[],2,0)</f>
        <v>Male</v>
      </c>
      <c r="F590" t="str">
        <f>VLOOKUP(C590,customers[],4,0)</f>
        <v>Cleveland</v>
      </c>
      <c r="G590">
        <v>90</v>
      </c>
      <c r="H590" s="17" t="s">
        <v>9</v>
      </c>
      <c r="I590" s="18">
        <v>45108</v>
      </c>
      <c r="J590">
        <v>129</v>
      </c>
      <c r="K590">
        <v>3.9</v>
      </c>
      <c r="L590">
        <f>IF(MONTH(calls[[#This Row],[Date of Call]])&lt;=6, YEAR(calls[[#This Row],[Date of Call]]), YEAR(calls[[#This Row],[Date of Call]])+1)</f>
        <v>2024</v>
      </c>
      <c r="M590" t="str">
        <f>TEXT(calls[[#This Row],[Date of Call]],"DDDD")</f>
        <v>السبت</v>
      </c>
      <c r="N590" t="str" cm="1">
        <f t="array" ref="N590">_xlfn.IFS(calls[[#This Row],[Duration]]&lt;=10,"Under 10 mins", calls[[#This Row],[Duration]]&lt;=30, "10 to 30 mins", calls[[#This Row],[Duration]]&lt;=60, "30 to 60 mins", calls[[#This Row],[Duration]]&lt;=120, "1 to 2 hours", TRUE, "More than 2 hours")</f>
        <v>1 to 2 hours</v>
      </c>
      <c r="O590">
        <f>ROUND(calls[[#This Row],[Satisfaction Rating]],0)</f>
        <v>4</v>
      </c>
    </row>
    <row r="591" spans="2:15" x14ac:dyDescent="0.25">
      <c r="B591" t="s">
        <v>612</v>
      </c>
      <c r="C591" t="s">
        <v>15</v>
      </c>
      <c r="D591">
        <f>VLOOKUP(C591,customers[],3,0)</f>
        <v>28</v>
      </c>
      <c r="E591" t="str">
        <f>VLOOKUP(C591,customers[],2,0)</f>
        <v>Female</v>
      </c>
      <c r="F591" t="str">
        <f>VLOOKUP(C591,customers[],4,0)</f>
        <v>Cincinnati</v>
      </c>
      <c r="G591">
        <v>88</v>
      </c>
      <c r="H591" s="17" t="s">
        <v>12</v>
      </c>
      <c r="I591" s="18">
        <v>45108</v>
      </c>
      <c r="J591">
        <v>80</v>
      </c>
      <c r="K591">
        <v>4.2</v>
      </c>
      <c r="L591">
        <f>IF(MONTH(calls[[#This Row],[Date of Call]])&lt;=6, YEAR(calls[[#This Row],[Date of Call]]), YEAR(calls[[#This Row],[Date of Call]])+1)</f>
        <v>2024</v>
      </c>
      <c r="M591" t="str">
        <f>TEXT(calls[[#This Row],[Date of Call]],"DDDD")</f>
        <v>السبت</v>
      </c>
      <c r="N591" t="str" cm="1">
        <f t="array" ref="N591">_xlfn.IFS(calls[[#This Row],[Duration]]&lt;=10,"Under 10 mins", calls[[#This Row],[Duration]]&lt;=30, "10 to 30 mins", calls[[#This Row],[Duration]]&lt;=60, "30 to 60 mins", calls[[#This Row],[Duration]]&lt;=120, "1 to 2 hours", TRUE, "More than 2 hours")</f>
        <v>1 to 2 hours</v>
      </c>
      <c r="O591">
        <f>ROUND(calls[[#This Row],[Satisfaction Rating]],0)</f>
        <v>4</v>
      </c>
    </row>
    <row r="592" spans="2:15" x14ac:dyDescent="0.25">
      <c r="B592" t="s">
        <v>613</v>
      </c>
      <c r="C592" t="s">
        <v>20</v>
      </c>
      <c r="D592">
        <f>VLOOKUP(C592,customers[],3,0)</f>
        <v>38</v>
      </c>
      <c r="E592" t="str">
        <f>VLOOKUP(C592,customers[],2,0)</f>
        <v>Female</v>
      </c>
      <c r="F592" t="str">
        <f>VLOOKUP(C592,customers[],4,0)</f>
        <v>Columbus</v>
      </c>
      <c r="G592">
        <v>37</v>
      </c>
      <c r="H592" s="17" t="s">
        <v>12</v>
      </c>
      <c r="I592" s="18">
        <v>45108</v>
      </c>
      <c r="J592">
        <v>54</v>
      </c>
      <c r="K592">
        <v>1.8</v>
      </c>
      <c r="L592">
        <f>IF(MONTH(calls[[#This Row],[Date of Call]])&lt;=6, YEAR(calls[[#This Row],[Date of Call]]), YEAR(calls[[#This Row],[Date of Call]])+1)</f>
        <v>2024</v>
      </c>
      <c r="M592" t="str">
        <f>TEXT(calls[[#This Row],[Date of Call]],"DDDD")</f>
        <v>السبت</v>
      </c>
      <c r="N592" t="str" cm="1">
        <f t="array" ref="N592">_xlfn.IFS(calls[[#This Row],[Duration]]&lt;=10,"Under 10 mins", calls[[#This Row],[Duration]]&lt;=30, "10 to 30 mins", calls[[#This Row],[Duration]]&lt;=60, "30 to 60 mins", calls[[#This Row],[Duration]]&lt;=120, "1 to 2 hours", TRUE, "More than 2 hours")</f>
        <v>30 to 60 mins</v>
      </c>
      <c r="O592">
        <f>ROUND(calls[[#This Row],[Satisfaction Rating]],0)</f>
        <v>2</v>
      </c>
    </row>
    <row r="593" spans="2:15" x14ac:dyDescent="0.25">
      <c r="B593" t="s">
        <v>614</v>
      </c>
      <c r="C593" t="s">
        <v>16</v>
      </c>
      <c r="D593">
        <f>VLOOKUP(C593,customers[],3,0)</f>
        <v>41</v>
      </c>
      <c r="E593" t="str">
        <f>VLOOKUP(C593,customers[],2,0)</f>
        <v>Male</v>
      </c>
      <c r="F593" t="str">
        <f>VLOOKUP(C593,customers[],4,0)</f>
        <v>Columbus</v>
      </c>
      <c r="G593">
        <v>142</v>
      </c>
      <c r="H593" s="17" t="s">
        <v>9</v>
      </c>
      <c r="I593" s="18">
        <v>45108</v>
      </c>
      <c r="J593">
        <v>116</v>
      </c>
      <c r="K593">
        <v>4.2</v>
      </c>
      <c r="L593">
        <f>IF(MONTH(calls[[#This Row],[Date of Call]])&lt;=6, YEAR(calls[[#This Row],[Date of Call]]), YEAR(calls[[#This Row],[Date of Call]])+1)</f>
        <v>2024</v>
      </c>
      <c r="M593" t="str">
        <f>TEXT(calls[[#This Row],[Date of Call]],"DDDD")</f>
        <v>السبت</v>
      </c>
      <c r="N593" t="str" cm="1">
        <f t="array" ref="N593">_xlfn.IFS(calls[[#This Row],[Duration]]&lt;=10,"Under 10 mins", calls[[#This Row],[Duration]]&lt;=30, "10 to 30 mins", calls[[#This Row],[Duration]]&lt;=60, "30 to 60 mins", calls[[#This Row],[Duration]]&lt;=120, "1 to 2 hours", TRUE, "More than 2 hours")</f>
        <v>More than 2 hours</v>
      </c>
      <c r="O593">
        <f>ROUND(calls[[#This Row],[Satisfaction Rating]],0)</f>
        <v>4</v>
      </c>
    </row>
    <row r="594" spans="2:15" x14ac:dyDescent="0.25">
      <c r="B594" t="s">
        <v>615</v>
      </c>
      <c r="C594" t="s">
        <v>16</v>
      </c>
      <c r="D594">
        <f>VLOOKUP(C594,customers[],3,0)</f>
        <v>41</v>
      </c>
      <c r="E594" t="str">
        <f>VLOOKUP(C594,customers[],2,0)</f>
        <v>Male</v>
      </c>
      <c r="F594" t="str">
        <f>VLOOKUP(C594,customers[],4,0)</f>
        <v>Columbus</v>
      </c>
      <c r="G594">
        <v>153</v>
      </c>
      <c r="H594" s="17" t="s">
        <v>10</v>
      </c>
      <c r="I594" s="18">
        <v>45108</v>
      </c>
      <c r="J594">
        <v>102</v>
      </c>
      <c r="K594">
        <v>3.1</v>
      </c>
      <c r="L594">
        <f>IF(MONTH(calls[[#This Row],[Date of Call]])&lt;=6, YEAR(calls[[#This Row],[Date of Call]]), YEAR(calls[[#This Row],[Date of Call]])+1)</f>
        <v>2024</v>
      </c>
      <c r="M594" t="str">
        <f>TEXT(calls[[#This Row],[Date of Call]],"DDDD")</f>
        <v>السبت</v>
      </c>
      <c r="N594" t="str" cm="1">
        <f t="array" ref="N594">_xlfn.IFS(calls[[#This Row],[Duration]]&lt;=10,"Under 10 mins", calls[[#This Row],[Duration]]&lt;=30, "10 to 30 mins", calls[[#This Row],[Duration]]&lt;=60, "30 to 60 mins", calls[[#This Row],[Duration]]&lt;=120, "1 to 2 hours", TRUE, "More than 2 hours")</f>
        <v>More than 2 hours</v>
      </c>
      <c r="O594">
        <f>ROUND(calls[[#This Row],[Satisfaction Rating]],0)</f>
        <v>3</v>
      </c>
    </row>
    <row r="595" spans="2:15" x14ac:dyDescent="0.25">
      <c r="B595" t="s">
        <v>616</v>
      </c>
      <c r="C595" t="s">
        <v>6</v>
      </c>
      <c r="D595">
        <f>VLOOKUP(C595,customers[],3,0)</f>
        <v>23</v>
      </c>
      <c r="E595" t="str">
        <f>VLOOKUP(C595,customers[],2,0)</f>
        <v>Male</v>
      </c>
      <c r="F595" t="str">
        <f>VLOOKUP(C595,customers[],4,0)</f>
        <v>Columbus</v>
      </c>
      <c r="G595">
        <v>128</v>
      </c>
      <c r="H595" s="17" t="s">
        <v>8</v>
      </c>
      <c r="I595" s="18">
        <v>45108</v>
      </c>
      <c r="J595">
        <v>140</v>
      </c>
      <c r="K595">
        <v>4.3</v>
      </c>
      <c r="L595">
        <f>IF(MONTH(calls[[#This Row],[Date of Call]])&lt;=6, YEAR(calls[[#This Row],[Date of Call]]), YEAR(calls[[#This Row],[Date of Call]])+1)</f>
        <v>2024</v>
      </c>
      <c r="M595" t="str">
        <f>TEXT(calls[[#This Row],[Date of Call]],"DDDD")</f>
        <v>السبت</v>
      </c>
      <c r="N595" t="str" cm="1">
        <f t="array" ref="N595">_xlfn.IFS(calls[[#This Row],[Duration]]&lt;=10,"Under 10 mins", calls[[#This Row],[Duration]]&lt;=30, "10 to 30 mins", calls[[#This Row],[Duration]]&lt;=60, "30 to 60 mins", calls[[#This Row],[Duration]]&lt;=120, "1 to 2 hours", TRUE, "More than 2 hours")</f>
        <v>More than 2 hours</v>
      </c>
      <c r="O595">
        <f>ROUND(calls[[#This Row],[Satisfaction Rating]],0)</f>
        <v>4</v>
      </c>
    </row>
    <row r="596" spans="2:15" x14ac:dyDescent="0.25">
      <c r="B596" t="s">
        <v>617</v>
      </c>
      <c r="C596" t="s">
        <v>13</v>
      </c>
      <c r="D596">
        <f>VLOOKUP(C596,customers[],3,0)</f>
        <v>37</v>
      </c>
      <c r="E596" t="str">
        <f>VLOOKUP(C596,customers[],2,0)</f>
        <v>Female</v>
      </c>
      <c r="F596" t="str">
        <f>VLOOKUP(C596,customers[],4,0)</f>
        <v>Cleveland</v>
      </c>
      <c r="G596">
        <v>110</v>
      </c>
      <c r="H596" s="17" t="s">
        <v>8</v>
      </c>
      <c r="I596" s="18">
        <v>45109</v>
      </c>
      <c r="J596">
        <v>104</v>
      </c>
      <c r="K596">
        <v>4.4000000000000004</v>
      </c>
      <c r="L596">
        <f>IF(MONTH(calls[[#This Row],[Date of Call]])&lt;=6, YEAR(calls[[#This Row],[Date of Call]]), YEAR(calls[[#This Row],[Date of Call]])+1)</f>
        <v>2024</v>
      </c>
      <c r="M596" t="str">
        <f>TEXT(calls[[#This Row],[Date of Call]],"DDDD")</f>
        <v>الأحد</v>
      </c>
      <c r="N596" t="str" cm="1">
        <f t="array" ref="N596">_xlfn.IFS(calls[[#This Row],[Duration]]&lt;=10,"Under 10 mins", calls[[#This Row],[Duration]]&lt;=30, "10 to 30 mins", calls[[#This Row],[Duration]]&lt;=60, "30 to 60 mins", calls[[#This Row],[Duration]]&lt;=120, "1 to 2 hours", TRUE, "More than 2 hours")</f>
        <v>1 to 2 hours</v>
      </c>
      <c r="O596">
        <f>ROUND(calls[[#This Row],[Satisfaction Rating]],0)</f>
        <v>4</v>
      </c>
    </row>
    <row r="597" spans="2:15" x14ac:dyDescent="0.25">
      <c r="B597" t="s">
        <v>618</v>
      </c>
      <c r="C597" t="s">
        <v>6</v>
      </c>
      <c r="D597">
        <f>VLOOKUP(C597,customers[],3,0)</f>
        <v>23</v>
      </c>
      <c r="E597" t="str">
        <f>VLOOKUP(C597,customers[],2,0)</f>
        <v>Male</v>
      </c>
      <c r="F597" t="str">
        <f>VLOOKUP(C597,customers[],4,0)</f>
        <v>Columbus</v>
      </c>
      <c r="G597">
        <v>139</v>
      </c>
      <c r="H597" s="17" t="s">
        <v>12</v>
      </c>
      <c r="I597" s="18">
        <v>45109</v>
      </c>
      <c r="J597">
        <v>81</v>
      </c>
      <c r="K597">
        <v>4.4000000000000004</v>
      </c>
      <c r="L597">
        <f>IF(MONTH(calls[[#This Row],[Date of Call]])&lt;=6, YEAR(calls[[#This Row],[Date of Call]]), YEAR(calls[[#This Row],[Date of Call]])+1)</f>
        <v>2024</v>
      </c>
      <c r="M597" t="str">
        <f>TEXT(calls[[#This Row],[Date of Call]],"DDDD")</f>
        <v>الأحد</v>
      </c>
      <c r="N597" t="str" cm="1">
        <f t="array" ref="N597">_xlfn.IFS(calls[[#This Row],[Duration]]&lt;=10,"Under 10 mins", calls[[#This Row],[Duration]]&lt;=30, "10 to 30 mins", calls[[#This Row],[Duration]]&lt;=60, "30 to 60 mins", calls[[#This Row],[Duration]]&lt;=120, "1 to 2 hours", TRUE, "More than 2 hours")</f>
        <v>More than 2 hours</v>
      </c>
      <c r="O597">
        <f>ROUND(calls[[#This Row],[Satisfaction Rating]],0)</f>
        <v>4</v>
      </c>
    </row>
    <row r="598" spans="2:15" x14ac:dyDescent="0.25">
      <c r="B598" t="s">
        <v>619</v>
      </c>
      <c r="C598" t="s">
        <v>17</v>
      </c>
      <c r="D598">
        <f>VLOOKUP(C598,customers[],3,0)</f>
        <v>30</v>
      </c>
      <c r="E598" t="str">
        <f>VLOOKUP(C598,customers[],2,0)</f>
        <v>Female</v>
      </c>
      <c r="F598" t="str">
        <f>VLOOKUP(C598,customers[],4,0)</f>
        <v>Cleveland</v>
      </c>
      <c r="G598">
        <v>109</v>
      </c>
      <c r="H598" s="17" t="s">
        <v>5</v>
      </c>
      <c r="I598" s="18">
        <v>45111</v>
      </c>
      <c r="J598">
        <v>140</v>
      </c>
      <c r="K598">
        <v>2.4</v>
      </c>
      <c r="L598">
        <f>IF(MONTH(calls[[#This Row],[Date of Call]])&lt;=6, YEAR(calls[[#This Row],[Date of Call]]), YEAR(calls[[#This Row],[Date of Call]])+1)</f>
        <v>2024</v>
      </c>
      <c r="M598" t="str">
        <f>TEXT(calls[[#This Row],[Date of Call]],"DDDD")</f>
        <v>الثلاثاء</v>
      </c>
      <c r="N598" t="str" cm="1">
        <f t="array" ref="N598">_xlfn.IFS(calls[[#This Row],[Duration]]&lt;=10,"Under 10 mins", calls[[#This Row],[Duration]]&lt;=30, "10 to 30 mins", calls[[#This Row],[Duration]]&lt;=60, "30 to 60 mins", calls[[#This Row],[Duration]]&lt;=120, "1 to 2 hours", TRUE, "More than 2 hours")</f>
        <v>1 to 2 hours</v>
      </c>
      <c r="O598">
        <f>ROUND(calls[[#This Row],[Satisfaction Rating]],0)</f>
        <v>2</v>
      </c>
    </row>
    <row r="599" spans="2:15" x14ac:dyDescent="0.25">
      <c r="B599" t="s">
        <v>620</v>
      </c>
      <c r="C599" t="s">
        <v>11</v>
      </c>
      <c r="D599">
        <f>VLOOKUP(C599,customers[],3,0)</f>
        <v>36</v>
      </c>
      <c r="E599" t="str">
        <f>VLOOKUP(C599,customers[],2,0)</f>
        <v>Male</v>
      </c>
      <c r="F599" t="str">
        <f>VLOOKUP(C599,customers[],4,0)</f>
        <v>Cincinnati</v>
      </c>
      <c r="G599">
        <v>57</v>
      </c>
      <c r="H599" s="17" t="s">
        <v>9</v>
      </c>
      <c r="I599" s="18">
        <v>45112</v>
      </c>
      <c r="J599">
        <v>120</v>
      </c>
      <c r="K599">
        <v>3.5</v>
      </c>
      <c r="L599">
        <f>IF(MONTH(calls[[#This Row],[Date of Call]])&lt;=6, YEAR(calls[[#This Row],[Date of Call]]), YEAR(calls[[#This Row],[Date of Call]])+1)</f>
        <v>2024</v>
      </c>
      <c r="M599" t="str">
        <f>TEXT(calls[[#This Row],[Date of Call]],"DDDD")</f>
        <v>الأربعاء</v>
      </c>
      <c r="N599" t="str" cm="1">
        <f t="array" ref="N599">_xlfn.IFS(calls[[#This Row],[Duration]]&lt;=10,"Under 10 mins", calls[[#This Row],[Duration]]&lt;=30, "10 to 30 mins", calls[[#This Row],[Duration]]&lt;=60, "30 to 60 mins", calls[[#This Row],[Duration]]&lt;=120, "1 to 2 hours", TRUE, "More than 2 hours")</f>
        <v>30 to 60 mins</v>
      </c>
      <c r="O599">
        <f>ROUND(calls[[#This Row],[Satisfaction Rating]],0)</f>
        <v>4</v>
      </c>
    </row>
    <row r="600" spans="2:15" x14ac:dyDescent="0.25">
      <c r="B600" t="s">
        <v>621</v>
      </c>
      <c r="C600" t="s">
        <v>17</v>
      </c>
      <c r="D600">
        <f>VLOOKUP(C600,customers[],3,0)</f>
        <v>30</v>
      </c>
      <c r="E600" t="str">
        <f>VLOOKUP(C600,customers[],2,0)</f>
        <v>Female</v>
      </c>
      <c r="F600" t="str">
        <f>VLOOKUP(C600,customers[],4,0)</f>
        <v>Cleveland</v>
      </c>
      <c r="G600">
        <v>68</v>
      </c>
      <c r="H600" s="17" t="s">
        <v>12</v>
      </c>
      <c r="I600" s="18">
        <v>45112</v>
      </c>
      <c r="J600">
        <v>41</v>
      </c>
      <c r="K600">
        <v>3.1</v>
      </c>
      <c r="L600">
        <f>IF(MONTH(calls[[#This Row],[Date of Call]])&lt;=6, YEAR(calls[[#This Row],[Date of Call]]), YEAR(calls[[#This Row],[Date of Call]])+1)</f>
        <v>2024</v>
      </c>
      <c r="M600" t="str">
        <f>TEXT(calls[[#This Row],[Date of Call]],"DDDD")</f>
        <v>الأربعاء</v>
      </c>
      <c r="N600" t="str" cm="1">
        <f t="array" ref="N600">_xlfn.IFS(calls[[#This Row],[Duration]]&lt;=10,"Under 10 mins", calls[[#This Row],[Duration]]&lt;=30, "10 to 30 mins", calls[[#This Row],[Duration]]&lt;=60, "30 to 60 mins", calls[[#This Row],[Duration]]&lt;=120, "1 to 2 hours", TRUE, "More than 2 hours")</f>
        <v>1 to 2 hours</v>
      </c>
      <c r="O600">
        <f>ROUND(calls[[#This Row],[Satisfaction Rating]],0)</f>
        <v>3</v>
      </c>
    </row>
    <row r="601" spans="2:15" x14ac:dyDescent="0.25">
      <c r="B601" t="s">
        <v>622</v>
      </c>
      <c r="C601" t="s">
        <v>7</v>
      </c>
      <c r="D601">
        <f>VLOOKUP(C601,customers[],3,0)</f>
        <v>30</v>
      </c>
      <c r="E601" t="str">
        <f>VLOOKUP(C601,customers[],2,0)</f>
        <v>Female</v>
      </c>
      <c r="F601" t="str">
        <f>VLOOKUP(C601,customers[],4,0)</f>
        <v>Cincinnati</v>
      </c>
      <c r="G601">
        <v>128</v>
      </c>
      <c r="H601" s="17" t="s">
        <v>12</v>
      </c>
      <c r="I601" s="18">
        <v>45112</v>
      </c>
      <c r="J601">
        <v>116</v>
      </c>
      <c r="K601">
        <v>2.2999999999999998</v>
      </c>
      <c r="L601">
        <f>IF(MONTH(calls[[#This Row],[Date of Call]])&lt;=6, YEAR(calls[[#This Row],[Date of Call]]), YEAR(calls[[#This Row],[Date of Call]])+1)</f>
        <v>2024</v>
      </c>
      <c r="M601" t="str">
        <f>TEXT(calls[[#This Row],[Date of Call]],"DDDD")</f>
        <v>الأربعاء</v>
      </c>
      <c r="N601" t="str" cm="1">
        <f t="array" ref="N601">_xlfn.IFS(calls[[#This Row],[Duration]]&lt;=10,"Under 10 mins", calls[[#This Row],[Duration]]&lt;=30, "10 to 30 mins", calls[[#This Row],[Duration]]&lt;=60, "30 to 60 mins", calls[[#This Row],[Duration]]&lt;=120, "1 to 2 hours", TRUE, "More than 2 hours")</f>
        <v>More than 2 hours</v>
      </c>
      <c r="O601">
        <f>ROUND(calls[[#This Row],[Satisfaction Rating]],0)</f>
        <v>2</v>
      </c>
    </row>
    <row r="602" spans="2:15" x14ac:dyDescent="0.25">
      <c r="B602" t="s">
        <v>623</v>
      </c>
      <c r="C602" t="s">
        <v>19</v>
      </c>
      <c r="D602">
        <f>VLOOKUP(C602,customers[],3,0)</f>
        <v>26</v>
      </c>
      <c r="E602" t="str">
        <f>VLOOKUP(C602,customers[],2,0)</f>
        <v>Male</v>
      </c>
      <c r="F602" t="str">
        <f>VLOOKUP(C602,customers[],4,0)</f>
        <v>Cincinnati</v>
      </c>
      <c r="G602">
        <v>102</v>
      </c>
      <c r="H602" s="17" t="s">
        <v>9</v>
      </c>
      <c r="I602" s="18">
        <v>45113</v>
      </c>
      <c r="J602">
        <v>70</v>
      </c>
      <c r="K602">
        <v>2.8</v>
      </c>
      <c r="L602">
        <f>IF(MONTH(calls[[#This Row],[Date of Call]])&lt;=6, YEAR(calls[[#This Row],[Date of Call]]), YEAR(calls[[#This Row],[Date of Call]])+1)</f>
        <v>2024</v>
      </c>
      <c r="M602" t="str">
        <f>TEXT(calls[[#This Row],[Date of Call]],"DDDD")</f>
        <v>الخميس</v>
      </c>
      <c r="N602" t="str" cm="1">
        <f t="array" ref="N602">_xlfn.IFS(calls[[#This Row],[Duration]]&lt;=10,"Under 10 mins", calls[[#This Row],[Duration]]&lt;=30, "10 to 30 mins", calls[[#This Row],[Duration]]&lt;=60, "30 to 60 mins", calls[[#This Row],[Duration]]&lt;=120, "1 to 2 hours", TRUE, "More than 2 hours")</f>
        <v>1 to 2 hours</v>
      </c>
      <c r="O602">
        <f>ROUND(calls[[#This Row],[Satisfaction Rating]],0)</f>
        <v>3</v>
      </c>
    </row>
    <row r="603" spans="2:15" x14ac:dyDescent="0.25">
      <c r="B603" t="s">
        <v>624</v>
      </c>
      <c r="C603" t="s">
        <v>6</v>
      </c>
      <c r="D603">
        <f>VLOOKUP(C603,customers[],3,0)</f>
        <v>23</v>
      </c>
      <c r="E603" t="str">
        <f>VLOOKUP(C603,customers[],2,0)</f>
        <v>Male</v>
      </c>
      <c r="F603" t="str">
        <f>VLOOKUP(C603,customers[],4,0)</f>
        <v>Columbus</v>
      </c>
      <c r="G603">
        <v>52</v>
      </c>
      <c r="H603" s="17" t="s">
        <v>10</v>
      </c>
      <c r="I603" s="18">
        <v>45113</v>
      </c>
      <c r="J603">
        <v>42</v>
      </c>
      <c r="K603">
        <v>4.5</v>
      </c>
      <c r="L603">
        <f>IF(MONTH(calls[[#This Row],[Date of Call]])&lt;=6, YEAR(calls[[#This Row],[Date of Call]]), YEAR(calls[[#This Row],[Date of Call]])+1)</f>
        <v>2024</v>
      </c>
      <c r="M603" t="str">
        <f>TEXT(calls[[#This Row],[Date of Call]],"DDDD")</f>
        <v>الخميس</v>
      </c>
      <c r="N603" t="str" cm="1">
        <f t="array" ref="N603">_xlfn.IFS(calls[[#This Row],[Duration]]&lt;=10,"Under 10 mins", calls[[#This Row],[Duration]]&lt;=30, "10 to 30 mins", calls[[#This Row],[Duration]]&lt;=60, "30 to 60 mins", calls[[#This Row],[Duration]]&lt;=120, "1 to 2 hours", TRUE, "More than 2 hours")</f>
        <v>30 to 60 mins</v>
      </c>
      <c r="O603">
        <f>ROUND(calls[[#This Row],[Satisfaction Rating]],0)</f>
        <v>5</v>
      </c>
    </row>
    <row r="604" spans="2:15" x14ac:dyDescent="0.25">
      <c r="B604" t="s">
        <v>625</v>
      </c>
      <c r="C604" t="s">
        <v>7</v>
      </c>
      <c r="D604">
        <f>VLOOKUP(C604,customers[],3,0)</f>
        <v>30</v>
      </c>
      <c r="E604" t="str">
        <f>VLOOKUP(C604,customers[],2,0)</f>
        <v>Female</v>
      </c>
      <c r="F604" t="str">
        <f>VLOOKUP(C604,customers[],4,0)</f>
        <v>Cincinnati</v>
      </c>
      <c r="G604">
        <v>55</v>
      </c>
      <c r="H604" s="17" t="s">
        <v>8</v>
      </c>
      <c r="I604" s="18">
        <v>45114</v>
      </c>
      <c r="J604">
        <v>112</v>
      </c>
      <c r="K604">
        <v>4.5</v>
      </c>
      <c r="L604">
        <f>IF(MONTH(calls[[#This Row],[Date of Call]])&lt;=6, YEAR(calls[[#This Row],[Date of Call]]), YEAR(calls[[#This Row],[Date of Call]])+1)</f>
        <v>2024</v>
      </c>
      <c r="M604" t="str">
        <f>TEXT(calls[[#This Row],[Date of Call]],"DDDD")</f>
        <v>الجمعة</v>
      </c>
      <c r="N604" t="str" cm="1">
        <f t="array" ref="N604">_xlfn.IFS(calls[[#This Row],[Duration]]&lt;=10,"Under 10 mins", calls[[#This Row],[Duration]]&lt;=30, "10 to 30 mins", calls[[#This Row],[Duration]]&lt;=60, "30 to 60 mins", calls[[#This Row],[Duration]]&lt;=120, "1 to 2 hours", TRUE, "More than 2 hours")</f>
        <v>30 to 60 mins</v>
      </c>
      <c r="O604">
        <f>ROUND(calls[[#This Row],[Satisfaction Rating]],0)</f>
        <v>5</v>
      </c>
    </row>
    <row r="605" spans="2:15" x14ac:dyDescent="0.25">
      <c r="B605" t="s">
        <v>626</v>
      </c>
      <c r="C605" t="s">
        <v>20</v>
      </c>
      <c r="D605">
        <f>VLOOKUP(C605,customers[],3,0)</f>
        <v>38</v>
      </c>
      <c r="E605" t="str">
        <f>VLOOKUP(C605,customers[],2,0)</f>
        <v>Female</v>
      </c>
      <c r="F605" t="str">
        <f>VLOOKUP(C605,customers[],4,0)</f>
        <v>Columbus</v>
      </c>
      <c r="G605">
        <v>107</v>
      </c>
      <c r="H605" s="17" t="s">
        <v>12</v>
      </c>
      <c r="I605" s="18">
        <v>45114</v>
      </c>
      <c r="J605">
        <v>20</v>
      </c>
      <c r="K605">
        <v>4.5</v>
      </c>
      <c r="L605">
        <f>IF(MONTH(calls[[#This Row],[Date of Call]])&lt;=6, YEAR(calls[[#This Row],[Date of Call]]), YEAR(calls[[#This Row],[Date of Call]])+1)</f>
        <v>2024</v>
      </c>
      <c r="M605" t="str">
        <f>TEXT(calls[[#This Row],[Date of Call]],"DDDD")</f>
        <v>الجمعة</v>
      </c>
      <c r="N605" t="str" cm="1">
        <f t="array" ref="N605">_xlfn.IFS(calls[[#This Row],[Duration]]&lt;=10,"Under 10 mins", calls[[#This Row],[Duration]]&lt;=30, "10 to 30 mins", calls[[#This Row],[Duration]]&lt;=60, "30 to 60 mins", calls[[#This Row],[Duration]]&lt;=120, "1 to 2 hours", TRUE, "More than 2 hours")</f>
        <v>1 to 2 hours</v>
      </c>
      <c r="O605">
        <f>ROUND(calls[[#This Row],[Satisfaction Rating]],0)</f>
        <v>5</v>
      </c>
    </row>
    <row r="606" spans="2:15" x14ac:dyDescent="0.25">
      <c r="B606" t="s">
        <v>627</v>
      </c>
      <c r="C606" t="s">
        <v>23</v>
      </c>
      <c r="D606">
        <f>VLOOKUP(C606,customers[],3,0)</f>
        <v>31</v>
      </c>
      <c r="E606" t="str">
        <f>VLOOKUP(C606,customers[],2,0)</f>
        <v>Male</v>
      </c>
      <c r="F606" t="str">
        <f>VLOOKUP(C606,customers[],4,0)</f>
        <v>Cleveland</v>
      </c>
      <c r="G606">
        <v>88</v>
      </c>
      <c r="H606" s="17" t="s">
        <v>10</v>
      </c>
      <c r="I606" s="18">
        <v>45115</v>
      </c>
      <c r="J606">
        <v>110</v>
      </c>
      <c r="K606">
        <v>4.8</v>
      </c>
      <c r="L606">
        <f>IF(MONTH(calls[[#This Row],[Date of Call]])&lt;=6, YEAR(calls[[#This Row],[Date of Call]]), YEAR(calls[[#This Row],[Date of Call]])+1)</f>
        <v>2024</v>
      </c>
      <c r="M606" t="str">
        <f>TEXT(calls[[#This Row],[Date of Call]],"DDDD")</f>
        <v>السبت</v>
      </c>
      <c r="N606" t="str" cm="1">
        <f t="array" ref="N606">_xlfn.IFS(calls[[#This Row],[Duration]]&lt;=10,"Under 10 mins", calls[[#This Row],[Duration]]&lt;=30, "10 to 30 mins", calls[[#This Row],[Duration]]&lt;=60, "30 to 60 mins", calls[[#This Row],[Duration]]&lt;=120, "1 to 2 hours", TRUE, "More than 2 hours")</f>
        <v>1 to 2 hours</v>
      </c>
      <c r="O606">
        <f>ROUND(calls[[#This Row],[Satisfaction Rating]],0)</f>
        <v>5</v>
      </c>
    </row>
    <row r="607" spans="2:15" x14ac:dyDescent="0.25">
      <c r="B607" t="s">
        <v>628</v>
      </c>
      <c r="C607" t="s">
        <v>14</v>
      </c>
      <c r="D607">
        <f>VLOOKUP(C607,customers[],3,0)</f>
        <v>22</v>
      </c>
      <c r="E607" t="str">
        <f>VLOOKUP(C607,customers[],2,0)</f>
        <v>Female</v>
      </c>
      <c r="F607" t="str">
        <f>VLOOKUP(C607,customers[],4,0)</f>
        <v>Cleveland</v>
      </c>
      <c r="G607">
        <v>49</v>
      </c>
      <c r="H607" s="17" t="s">
        <v>10</v>
      </c>
      <c r="I607" s="18">
        <v>45115</v>
      </c>
      <c r="J607">
        <v>39</v>
      </c>
      <c r="K607">
        <v>4.5999999999999996</v>
      </c>
      <c r="L607">
        <f>IF(MONTH(calls[[#This Row],[Date of Call]])&lt;=6, YEAR(calls[[#This Row],[Date of Call]]), YEAR(calls[[#This Row],[Date of Call]])+1)</f>
        <v>2024</v>
      </c>
      <c r="M607" t="str">
        <f>TEXT(calls[[#This Row],[Date of Call]],"DDDD")</f>
        <v>السبت</v>
      </c>
      <c r="N607" t="str" cm="1">
        <f t="array" ref="N607">_xlfn.IFS(calls[[#This Row],[Duration]]&lt;=10,"Under 10 mins", calls[[#This Row],[Duration]]&lt;=30, "10 to 30 mins", calls[[#This Row],[Duration]]&lt;=60, "30 to 60 mins", calls[[#This Row],[Duration]]&lt;=120, "1 to 2 hours", TRUE, "More than 2 hours")</f>
        <v>30 to 60 mins</v>
      </c>
      <c r="O607">
        <f>ROUND(calls[[#This Row],[Satisfaction Rating]],0)</f>
        <v>5</v>
      </c>
    </row>
    <row r="608" spans="2:15" x14ac:dyDescent="0.25">
      <c r="B608" t="s">
        <v>629</v>
      </c>
      <c r="C608" t="s">
        <v>23</v>
      </c>
      <c r="D608">
        <f>VLOOKUP(C608,customers[],3,0)</f>
        <v>31</v>
      </c>
      <c r="E608" t="str">
        <f>VLOOKUP(C608,customers[],2,0)</f>
        <v>Male</v>
      </c>
      <c r="F608" t="str">
        <f>VLOOKUP(C608,customers[],4,0)</f>
        <v>Cleveland</v>
      </c>
      <c r="G608">
        <v>72</v>
      </c>
      <c r="H608" s="17" t="s">
        <v>9</v>
      </c>
      <c r="I608" s="18">
        <v>45115</v>
      </c>
      <c r="J608">
        <v>76</v>
      </c>
      <c r="K608">
        <v>4.5</v>
      </c>
      <c r="L608">
        <f>IF(MONTH(calls[[#This Row],[Date of Call]])&lt;=6, YEAR(calls[[#This Row],[Date of Call]]), YEAR(calls[[#This Row],[Date of Call]])+1)</f>
        <v>2024</v>
      </c>
      <c r="M608" t="str">
        <f>TEXT(calls[[#This Row],[Date of Call]],"DDDD")</f>
        <v>السبت</v>
      </c>
      <c r="N608" t="str" cm="1">
        <f t="array" ref="N608">_xlfn.IFS(calls[[#This Row],[Duration]]&lt;=10,"Under 10 mins", calls[[#This Row],[Duration]]&lt;=30, "10 to 30 mins", calls[[#This Row],[Duration]]&lt;=60, "30 to 60 mins", calls[[#This Row],[Duration]]&lt;=120, "1 to 2 hours", TRUE, "More than 2 hours")</f>
        <v>1 to 2 hours</v>
      </c>
      <c r="O608">
        <f>ROUND(calls[[#This Row],[Satisfaction Rating]],0)</f>
        <v>5</v>
      </c>
    </row>
    <row r="609" spans="2:15" x14ac:dyDescent="0.25">
      <c r="B609" t="s">
        <v>630</v>
      </c>
      <c r="C609" t="s">
        <v>11</v>
      </c>
      <c r="D609">
        <f>VLOOKUP(C609,customers[],3,0)</f>
        <v>36</v>
      </c>
      <c r="E609" t="str">
        <f>VLOOKUP(C609,customers[],2,0)</f>
        <v>Male</v>
      </c>
      <c r="F609" t="str">
        <f>VLOOKUP(C609,customers[],4,0)</f>
        <v>Cincinnati</v>
      </c>
      <c r="G609">
        <v>50</v>
      </c>
      <c r="H609" s="17" t="s">
        <v>9</v>
      </c>
      <c r="I609" s="18">
        <v>45115</v>
      </c>
      <c r="J609">
        <v>40</v>
      </c>
      <c r="K609">
        <v>5</v>
      </c>
      <c r="L609">
        <f>IF(MONTH(calls[[#This Row],[Date of Call]])&lt;=6, YEAR(calls[[#This Row],[Date of Call]]), YEAR(calls[[#This Row],[Date of Call]])+1)</f>
        <v>2024</v>
      </c>
      <c r="M609" t="str">
        <f>TEXT(calls[[#This Row],[Date of Call]],"DDDD")</f>
        <v>السبت</v>
      </c>
      <c r="N609" t="str" cm="1">
        <f t="array" ref="N609">_xlfn.IFS(calls[[#This Row],[Duration]]&lt;=10,"Under 10 mins", calls[[#This Row],[Duration]]&lt;=30, "10 to 30 mins", calls[[#This Row],[Duration]]&lt;=60, "30 to 60 mins", calls[[#This Row],[Duration]]&lt;=120, "1 to 2 hours", TRUE, "More than 2 hours")</f>
        <v>30 to 60 mins</v>
      </c>
      <c r="O609">
        <f>ROUND(calls[[#This Row],[Satisfaction Rating]],0)</f>
        <v>5</v>
      </c>
    </row>
    <row r="610" spans="2:15" x14ac:dyDescent="0.25">
      <c r="B610" t="s">
        <v>631</v>
      </c>
      <c r="C610" t="s">
        <v>23</v>
      </c>
      <c r="D610">
        <f>VLOOKUP(C610,customers[],3,0)</f>
        <v>31</v>
      </c>
      <c r="E610" t="str">
        <f>VLOOKUP(C610,customers[],2,0)</f>
        <v>Male</v>
      </c>
      <c r="F610" t="str">
        <f>VLOOKUP(C610,customers[],4,0)</f>
        <v>Cleveland</v>
      </c>
      <c r="G610">
        <v>52</v>
      </c>
      <c r="H610" s="17" t="s">
        <v>12</v>
      </c>
      <c r="I610" s="18">
        <v>45115</v>
      </c>
      <c r="J610">
        <v>42</v>
      </c>
      <c r="K610">
        <v>4.8</v>
      </c>
      <c r="L610">
        <f>IF(MONTH(calls[[#This Row],[Date of Call]])&lt;=6, YEAR(calls[[#This Row],[Date of Call]]), YEAR(calls[[#This Row],[Date of Call]])+1)</f>
        <v>2024</v>
      </c>
      <c r="M610" t="str">
        <f>TEXT(calls[[#This Row],[Date of Call]],"DDDD")</f>
        <v>السبت</v>
      </c>
      <c r="N610" t="str" cm="1">
        <f t="array" ref="N610">_xlfn.IFS(calls[[#This Row],[Duration]]&lt;=10,"Under 10 mins", calls[[#This Row],[Duration]]&lt;=30, "10 to 30 mins", calls[[#This Row],[Duration]]&lt;=60, "30 to 60 mins", calls[[#This Row],[Duration]]&lt;=120, "1 to 2 hours", TRUE, "More than 2 hours")</f>
        <v>30 to 60 mins</v>
      </c>
      <c r="O610">
        <f>ROUND(calls[[#This Row],[Satisfaction Rating]],0)</f>
        <v>5</v>
      </c>
    </row>
    <row r="611" spans="2:15" x14ac:dyDescent="0.25">
      <c r="B611" t="s">
        <v>632</v>
      </c>
      <c r="C611" t="s">
        <v>22</v>
      </c>
      <c r="D611">
        <f>VLOOKUP(C611,customers[],3,0)</f>
        <v>37</v>
      </c>
      <c r="E611" t="str">
        <f>VLOOKUP(C611,customers[],2,0)</f>
        <v>Male</v>
      </c>
      <c r="F611" t="str">
        <f>VLOOKUP(C611,customers[],4,0)</f>
        <v>Columbus</v>
      </c>
      <c r="G611">
        <v>85</v>
      </c>
      <c r="H611" s="17" t="s">
        <v>5</v>
      </c>
      <c r="I611" s="18">
        <v>45116</v>
      </c>
      <c r="J611">
        <v>215</v>
      </c>
      <c r="K611">
        <v>3.5</v>
      </c>
      <c r="L611">
        <f>IF(MONTH(calls[[#This Row],[Date of Call]])&lt;=6, YEAR(calls[[#This Row],[Date of Call]]), YEAR(calls[[#This Row],[Date of Call]])+1)</f>
        <v>2024</v>
      </c>
      <c r="M611" t="str">
        <f>TEXT(calls[[#This Row],[Date of Call]],"DDDD")</f>
        <v>الأحد</v>
      </c>
      <c r="N611" t="str" cm="1">
        <f t="array" ref="N611">_xlfn.IFS(calls[[#This Row],[Duration]]&lt;=10,"Under 10 mins", calls[[#This Row],[Duration]]&lt;=30, "10 to 30 mins", calls[[#This Row],[Duration]]&lt;=60, "30 to 60 mins", calls[[#This Row],[Duration]]&lt;=120, "1 to 2 hours", TRUE, "More than 2 hours")</f>
        <v>1 to 2 hours</v>
      </c>
      <c r="O611">
        <f>ROUND(calls[[#This Row],[Satisfaction Rating]],0)</f>
        <v>4</v>
      </c>
    </row>
    <row r="612" spans="2:15" x14ac:dyDescent="0.25">
      <c r="B612" t="s">
        <v>633</v>
      </c>
      <c r="C612" t="s">
        <v>21</v>
      </c>
      <c r="D612">
        <f>VLOOKUP(C612,customers[],3,0)</f>
        <v>25</v>
      </c>
      <c r="E612" t="str">
        <f>VLOOKUP(C612,customers[],2,0)</f>
        <v>Female</v>
      </c>
      <c r="F612" t="str">
        <f>VLOOKUP(C612,customers[],4,0)</f>
        <v>Columbus</v>
      </c>
      <c r="G612">
        <v>98</v>
      </c>
      <c r="H612" s="17" t="s">
        <v>5</v>
      </c>
      <c r="I612" s="18">
        <v>45117</v>
      </c>
      <c r="J612">
        <v>130</v>
      </c>
      <c r="K612">
        <v>3.4</v>
      </c>
      <c r="L612">
        <f>IF(MONTH(calls[[#This Row],[Date of Call]])&lt;=6, YEAR(calls[[#This Row],[Date of Call]]), YEAR(calls[[#This Row],[Date of Call]])+1)</f>
        <v>2024</v>
      </c>
      <c r="M612" t="str">
        <f>TEXT(calls[[#This Row],[Date of Call]],"DDDD")</f>
        <v>الإثنين</v>
      </c>
      <c r="N612" t="str" cm="1">
        <f t="array" ref="N612">_xlfn.IFS(calls[[#This Row],[Duration]]&lt;=10,"Under 10 mins", calls[[#This Row],[Duration]]&lt;=30, "10 to 30 mins", calls[[#This Row],[Duration]]&lt;=60, "30 to 60 mins", calls[[#This Row],[Duration]]&lt;=120, "1 to 2 hours", TRUE, "More than 2 hours")</f>
        <v>1 to 2 hours</v>
      </c>
      <c r="O612">
        <f>ROUND(calls[[#This Row],[Satisfaction Rating]],0)</f>
        <v>3</v>
      </c>
    </row>
    <row r="613" spans="2:15" x14ac:dyDescent="0.25">
      <c r="B613" t="s">
        <v>634</v>
      </c>
      <c r="C613" t="s">
        <v>18</v>
      </c>
      <c r="D613">
        <f>VLOOKUP(C613,customers[],3,0)</f>
        <v>43</v>
      </c>
      <c r="E613" t="str">
        <f>VLOOKUP(C613,customers[],2,0)</f>
        <v>Female</v>
      </c>
      <c r="F613" t="str">
        <f>VLOOKUP(C613,customers[],4,0)</f>
        <v>Cleveland</v>
      </c>
      <c r="G613">
        <v>52</v>
      </c>
      <c r="H613" s="17" t="s">
        <v>5</v>
      </c>
      <c r="I613" s="18">
        <v>45117</v>
      </c>
      <c r="J613">
        <v>190</v>
      </c>
      <c r="K613">
        <v>3.3</v>
      </c>
      <c r="L613">
        <f>IF(MONTH(calls[[#This Row],[Date of Call]])&lt;=6, YEAR(calls[[#This Row],[Date of Call]]), YEAR(calls[[#This Row],[Date of Call]])+1)</f>
        <v>2024</v>
      </c>
      <c r="M613" t="str">
        <f>TEXT(calls[[#This Row],[Date of Call]],"DDDD")</f>
        <v>الإثنين</v>
      </c>
      <c r="N613" t="str" cm="1">
        <f t="array" ref="N613">_xlfn.IFS(calls[[#This Row],[Duration]]&lt;=10,"Under 10 mins", calls[[#This Row],[Duration]]&lt;=30, "10 to 30 mins", calls[[#This Row],[Duration]]&lt;=60, "30 to 60 mins", calls[[#This Row],[Duration]]&lt;=120, "1 to 2 hours", TRUE, "More than 2 hours")</f>
        <v>30 to 60 mins</v>
      </c>
      <c r="O613">
        <f>ROUND(calls[[#This Row],[Satisfaction Rating]],0)</f>
        <v>3</v>
      </c>
    </row>
    <row r="614" spans="2:15" x14ac:dyDescent="0.25">
      <c r="B614" t="s">
        <v>635</v>
      </c>
      <c r="C614" t="s">
        <v>7</v>
      </c>
      <c r="D614">
        <f>VLOOKUP(C614,customers[],3,0)</f>
        <v>30</v>
      </c>
      <c r="E614" t="str">
        <f>VLOOKUP(C614,customers[],2,0)</f>
        <v>Female</v>
      </c>
      <c r="F614" t="str">
        <f>VLOOKUP(C614,customers[],4,0)</f>
        <v>Cincinnati</v>
      </c>
      <c r="G614">
        <v>154</v>
      </c>
      <c r="H614" s="17" t="s">
        <v>10</v>
      </c>
      <c r="I614" s="18">
        <v>45117</v>
      </c>
      <c r="J614">
        <v>164</v>
      </c>
      <c r="K614">
        <v>4.9000000000000004</v>
      </c>
      <c r="L614">
        <f>IF(MONTH(calls[[#This Row],[Date of Call]])&lt;=6, YEAR(calls[[#This Row],[Date of Call]]), YEAR(calls[[#This Row],[Date of Call]])+1)</f>
        <v>2024</v>
      </c>
      <c r="M614" t="str">
        <f>TEXT(calls[[#This Row],[Date of Call]],"DDDD")</f>
        <v>الإثنين</v>
      </c>
      <c r="N614" t="str" cm="1">
        <f t="array" ref="N614">_xlfn.IFS(calls[[#This Row],[Duration]]&lt;=10,"Under 10 mins", calls[[#This Row],[Duration]]&lt;=30, "10 to 30 mins", calls[[#This Row],[Duration]]&lt;=60, "30 to 60 mins", calls[[#This Row],[Duration]]&lt;=120, "1 to 2 hours", TRUE, "More than 2 hours")</f>
        <v>More than 2 hours</v>
      </c>
      <c r="O614">
        <f>ROUND(calls[[#This Row],[Satisfaction Rating]],0)</f>
        <v>5</v>
      </c>
    </row>
    <row r="615" spans="2:15" x14ac:dyDescent="0.25">
      <c r="B615" t="s">
        <v>636</v>
      </c>
      <c r="C615" t="s">
        <v>4</v>
      </c>
      <c r="D615">
        <f>VLOOKUP(C615,customers[],3,0)</f>
        <v>42</v>
      </c>
      <c r="E615" t="str">
        <f>VLOOKUP(C615,customers[],2,0)</f>
        <v>Female</v>
      </c>
      <c r="F615" t="str">
        <f>VLOOKUP(C615,customers[],4,0)</f>
        <v>Cleveland</v>
      </c>
      <c r="G615">
        <v>131</v>
      </c>
      <c r="H615" s="17" t="s">
        <v>8</v>
      </c>
      <c r="I615" s="18">
        <v>45118</v>
      </c>
      <c r="J615">
        <v>76</v>
      </c>
      <c r="K615">
        <v>4.5</v>
      </c>
      <c r="L615">
        <f>IF(MONTH(calls[[#This Row],[Date of Call]])&lt;=6, YEAR(calls[[#This Row],[Date of Call]]), YEAR(calls[[#This Row],[Date of Call]])+1)</f>
        <v>2024</v>
      </c>
      <c r="M615" t="str">
        <f>TEXT(calls[[#This Row],[Date of Call]],"DDDD")</f>
        <v>الثلاثاء</v>
      </c>
      <c r="N615" t="str" cm="1">
        <f t="array" ref="N615">_xlfn.IFS(calls[[#This Row],[Duration]]&lt;=10,"Under 10 mins", calls[[#This Row],[Duration]]&lt;=30, "10 to 30 mins", calls[[#This Row],[Duration]]&lt;=60, "30 to 60 mins", calls[[#This Row],[Duration]]&lt;=120, "1 to 2 hours", TRUE, "More than 2 hours")</f>
        <v>More than 2 hours</v>
      </c>
      <c r="O615">
        <f>ROUND(calls[[#This Row],[Satisfaction Rating]],0)</f>
        <v>5</v>
      </c>
    </row>
    <row r="616" spans="2:15" x14ac:dyDescent="0.25">
      <c r="B616" t="s">
        <v>637</v>
      </c>
      <c r="C616" t="s">
        <v>22</v>
      </c>
      <c r="D616">
        <f>VLOOKUP(C616,customers[],3,0)</f>
        <v>37</v>
      </c>
      <c r="E616" t="str">
        <f>VLOOKUP(C616,customers[],2,0)</f>
        <v>Male</v>
      </c>
      <c r="F616" t="str">
        <f>VLOOKUP(C616,customers[],4,0)</f>
        <v>Columbus</v>
      </c>
      <c r="G616">
        <v>73</v>
      </c>
      <c r="H616" s="17" t="s">
        <v>8</v>
      </c>
      <c r="I616" s="18">
        <v>45119</v>
      </c>
      <c r="J616">
        <v>87</v>
      </c>
      <c r="K616">
        <v>4.8</v>
      </c>
      <c r="L616">
        <f>IF(MONTH(calls[[#This Row],[Date of Call]])&lt;=6, YEAR(calls[[#This Row],[Date of Call]]), YEAR(calls[[#This Row],[Date of Call]])+1)</f>
        <v>2024</v>
      </c>
      <c r="M616" t="str">
        <f>TEXT(calls[[#This Row],[Date of Call]],"DDDD")</f>
        <v>الأربعاء</v>
      </c>
      <c r="N616" t="str" cm="1">
        <f t="array" ref="N616">_xlfn.IFS(calls[[#This Row],[Duration]]&lt;=10,"Under 10 mins", calls[[#This Row],[Duration]]&lt;=30, "10 to 30 mins", calls[[#This Row],[Duration]]&lt;=60, "30 to 60 mins", calls[[#This Row],[Duration]]&lt;=120, "1 to 2 hours", TRUE, "More than 2 hours")</f>
        <v>1 to 2 hours</v>
      </c>
      <c r="O616">
        <f>ROUND(calls[[#This Row],[Satisfaction Rating]],0)</f>
        <v>5</v>
      </c>
    </row>
    <row r="617" spans="2:15" x14ac:dyDescent="0.25">
      <c r="B617" t="s">
        <v>638</v>
      </c>
      <c r="C617" t="s">
        <v>13</v>
      </c>
      <c r="D617">
        <f>VLOOKUP(C617,customers[],3,0)</f>
        <v>37</v>
      </c>
      <c r="E617" t="str">
        <f>VLOOKUP(C617,customers[],2,0)</f>
        <v>Female</v>
      </c>
      <c r="F617" t="str">
        <f>VLOOKUP(C617,customers[],4,0)</f>
        <v>Cleveland</v>
      </c>
      <c r="G617">
        <v>45</v>
      </c>
      <c r="H617" s="17" t="s">
        <v>5</v>
      </c>
      <c r="I617" s="18">
        <v>45119</v>
      </c>
      <c r="J617">
        <v>84</v>
      </c>
      <c r="K617">
        <v>4.8</v>
      </c>
      <c r="L617">
        <f>IF(MONTH(calls[[#This Row],[Date of Call]])&lt;=6, YEAR(calls[[#This Row],[Date of Call]]), YEAR(calls[[#This Row],[Date of Call]])+1)</f>
        <v>2024</v>
      </c>
      <c r="M617" t="str">
        <f>TEXT(calls[[#This Row],[Date of Call]],"DDDD")</f>
        <v>الأربعاء</v>
      </c>
      <c r="N617" t="str" cm="1">
        <f t="array" ref="N617">_xlfn.IFS(calls[[#This Row],[Duration]]&lt;=10,"Under 10 mins", calls[[#This Row],[Duration]]&lt;=30, "10 to 30 mins", calls[[#This Row],[Duration]]&lt;=60, "30 to 60 mins", calls[[#This Row],[Duration]]&lt;=120, "1 to 2 hours", TRUE, "More than 2 hours")</f>
        <v>30 to 60 mins</v>
      </c>
      <c r="O617">
        <f>ROUND(calls[[#This Row],[Satisfaction Rating]],0)</f>
        <v>5</v>
      </c>
    </row>
    <row r="618" spans="2:15" x14ac:dyDescent="0.25">
      <c r="B618" t="s">
        <v>639</v>
      </c>
      <c r="C618" t="s">
        <v>6</v>
      </c>
      <c r="D618">
        <f>VLOOKUP(C618,customers[],3,0)</f>
        <v>23</v>
      </c>
      <c r="E618" t="str">
        <f>VLOOKUP(C618,customers[],2,0)</f>
        <v>Male</v>
      </c>
      <c r="F618" t="str">
        <f>VLOOKUP(C618,customers[],4,0)</f>
        <v>Columbus</v>
      </c>
      <c r="G618">
        <v>114</v>
      </c>
      <c r="H618" s="17" t="s">
        <v>12</v>
      </c>
      <c r="I618" s="18">
        <v>45119</v>
      </c>
      <c r="J618">
        <v>114</v>
      </c>
      <c r="K618">
        <v>3.9</v>
      </c>
      <c r="L618">
        <f>IF(MONTH(calls[[#This Row],[Date of Call]])&lt;=6, YEAR(calls[[#This Row],[Date of Call]]), YEAR(calls[[#This Row],[Date of Call]])+1)</f>
        <v>2024</v>
      </c>
      <c r="M618" t="str">
        <f>TEXT(calls[[#This Row],[Date of Call]],"DDDD")</f>
        <v>الأربعاء</v>
      </c>
      <c r="N618" t="str" cm="1">
        <f t="array" ref="N618">_xlfn.IFS(calls[[#This Row],[Duration]]&lt;=10,"Under 10 mins", calls[[#This Row],[Duration]]&lt;=30, "10 to 30 mins", calls[[#This Row],[Duration]]&lt;=60, "30 to 60 mins", calls[[#This Row],[Duration]]&lt;=120, "1 to 2 hours", TRUE, "More than 2 hours")</f>
        <v>1 to 2 hours</v>
      </c>
      <c r="O618">
        <f>ROUND(calls[[#This Row],[Satisfaction Rating]],0)</f>
        <v>4</v>
      </c>
    </row>
    <row r="619" spans="2:15" x14ac:dyDescent="0.25">
      <c r="B619" t="s">
        <v>640</v>
      </c>
      <c r="C619" t="s">
        <v>21</v>
      </c>
      <c r="D619">
        <f>VLOOKUP(C619,customers[],3,0)</f>
        <v>25</v>
      </c>
      <c r="E619" t="str">
        <f>VLOOKUP(C619,customers[],2,0)</f>
        <v>Female</v>
      </c>
      <c r="F619" t="str">
        <f>VLOOKUP(C619,customers[],4,0)</f>
        <v>Columbus</v>
      </c>
      <c r="G619">
        <v>69</v>
      </c>
      <c r="H619" s="17" t="s">
        <v>8</v>
      </c>
      <c r="I619" s="18">
        <v>45120</v>
      </c>
      <c r="J619">
        <v>56</v>
      </c>
      <c r="K619">
        <v>3.9</v>
      </c>
      <c r="L619">
        <f>IF(MONTH(calls[[#This Row],[Date of Call]])&lt;=6, YEAR(calls[[#This Row],[Date of Call]]), YEAR(calls[[#This Row],[Date of Call]])+1)</f>
        <v>2024</v>
      </c>
      <c r="M619" t="str">
        <f>TEXT(calls[[#This Row],[Date of Call]],"DDDD")</f>
        <v>الخميس</v>
      </c>
      <c r="N619" t="str" cm="1">
        <f t="array" ref="N619">_xlfn.IFS(calls[[#This Row],[Duration]]&lt;=10,"Under 10 mins", calls[[#This Row],[Duration]]&lt;=30, "10 to 30 mins", calls[[#This Row],[Duration]]&lt;=60, "30 to 60 mins", calls[[#This Row],[Duration]]&lt;=120, "1 to 2 hours", TRUE, "More than 2 hours")</f>
        <v>1 to 2 hours</v>
      </c>
      <c r="O619">
        <f>ROUND(calls[[#This Row],[Satisfaction Rating]],0)</f>
        <v>4</v>
      </c>
    </row>
    <row r="620" spans="2:15" x14ac:dyDescent="0.25">
      <c r="B620" t="s">
        <v>641</v>
      </c>
      <c r="C620" t="s">
        <v>4</v>
      </c>
      <c r="D620">
        <f>VLOOKUP(C620,customers[],3,0)</f>
        <v>42</v>
      </c>
      <c r="E620" t="str">
        <f>VLOOKUP(C620,customers[],2,0)</f>
        <v>Female</v>
      </c>
      <c r="F620" t="str">
        <f>VLOOKUP(C620,customers[],4,0)</f>
        <v>Cleveland</v>
      </c>
      <c r="G620">
        <v>33</v>
      </c>
      <c r="H620" s="17" t="s">
        <v>10</v>
      </c>
      <c r="I620" s="18">
        <v>45120</v>
      </c>
      <c r="J620">
        <v>27</v>
      </c>
      <c r="K620">
        <v>3.7</v>
      </c>
      <c r="L620">
        <f>IF(MONTH(calls[[#This Row],[Date of Call]])&lt;=6, YEAR(calls[[#This Row],[Date of Call]]), YEAR(calls[[#This Row],[Date of Call]])+1)</f>
        <v>2024</v>
      </c>
      <c r="M620" t="str">
        <f>TEXT(calls[[#This Row],[Date of Call]],"DDDD")</f>
        <v>الخميس</v>
      </c>
      <c r="N620" t="str" cm="1">
        <f t="array" ref="N620">_xlfn.IFS(calls[[#This Row],[Duration]]&lt;=10,"Under 10 mins", calls[[#This Row],[Duration]]&lt;=30, "10 to 30 mins", calls[[#This Row],[Duration]]&lt;=60, "30 to 60 mins", calls[[#This Row],[Duration]]&lt;=120, "1 to 2 hours", TRUE, "More than 2 hours")</f>
        <v>30 to 60 mins</v>
      </c>
      <c r="O620">
        <f>ROUND(calls[[#This Row],[Satisfaction Rating]],0)</f>
        <v>4</v>
      </c>
    </row>
    <row r="621" spans="2:15" x14ac:dyDescent="0.25">
      <c r="B621" t="s">
        <v>642</v>
      </c>
      <c r="C621" t="s">
        <v>11</v>
      </c>
      <c r="D621">
        <f>VLOOKUP(C621,customers[],3,0)</f>
        <v>36</v>
      </c>
      <c r="E621" t="str">
        <f>VLOOKUP(C621,customers[],2,0)</f>
        <v>Male</v>
      </c>
      <c r="F621" t="str">
        <f>VLOOKUP(C621,customers[],4,0)</f>
        <v>Cincinnati</v>
      </c>
      <c r="G621">
        <v>31</v>
      </c>
      <c r="H621" s="17" t="s">
        <v>9</v>
      </c>
      <c r="I621" s="18">
        <v>45121</v>
      </c>
      <c r="J621">
        <v>84</v>
      </c>
      <c r="K621">
        <v>4.8</v>
      </c>
      <c r="L621">
        <f>IF(MONTH(calls[[#This Row],[Date of Call]])&lt;=6, YEAR(calls[[#This Row],[Date of Call]]), YEAR(calls[[#This Row],[Date of Call]])+1)</f>
        <v>2024</v>
      </c>
      <c r="M621" t="str">
        <f>TEXT(calls[[#This Row],[Date of Call]],"DDDD")</f>
        <v>الجمعة</v>
      </c>
      <c r="N621" t="str" cm="1">
        <f t="array" ref="N621">_xlfn.IFS(calls[[#This Row],[Duration]]&lt;=10,"Under 10 mins", calls[[#This Row],[Duration]]&lt;=30, "10 to 30 mins", calls[[#This Row],[Duration]]&lt;=60, "30 to 60 mins", calls[[#This Row],[Duration]]&lt;=120, "1 to 2 hours", TRUE, "More than 2 hours")</f>
        <v>30 to 60 mins</v>
      </c>
      <c r="O621">
        <f>ROUND(calls[[#This Row],[Satisfaction Rating]],0)</f>
        <v>5</v>
      </c>
    </row>
    <row r="622" spans="2:15" x14ac:dyDescent="0.25">
      <c r="B622" t="s">
        <v>643</v>
      </c>
      <c r="C622" t="s">
        <v>13</v>
      </c>
      <c r="D622">
        <f>VLOOKUP(C622,customers[],3,0)</f>
        <v>37</v>
      </c>
      <c r="E622" t="str">
        <f>VLOOKUP(C622,customers[],2,0)</f>
        <v>Female</v>
      </c>
      <c r="F622" t="str">
        <f>VLOOKUP(C622,customers[],4,0)</f>
        <v>Cleveland</v>
      </c>
      <c r="G622">
        <v>168</v>
      </c>
      <c r="H622" s="17" t="s">
        <v>10</v>
      </c>
      <c r="I622" s="18">
        <v>45121</v>
      </c>
      <c r="J622">
        <v>72</v>
      </c>
      <c r="K622">
        <v>3.5</v>
      </c>
      <c r="L622">
        <f>IF(MONTH(calls[[#This Row],[Date of Call]])&lt;=6, YEAR(calls[[#This Row],[Date of Call]]), YEAR(calls[[#This Row],[Date of Call]])+1)</f>
        <v>2024</v>
      </c>
      <c r="M622" t="str">
        <f>TEXT(calls[[#This Row],[Date of Call]],"DDDD")</f>
        <v>الجمعة</v>
      </c>
      <c r="N622" t="str" cm="1">
        <f t="array" ref="N622">_xlfn.IFS(calls[[#This Row],[Duration]]&lt;=10,"Under 10 mins", calls[[#This Row],[Duration]]&lt;=30, "10 to 30 mins", calls[[#This Row],[Duration]]&lt;=60, "30 to 60 mins", calls[[#This Row],[Duration]]&lt;=120, "1 to 2 hours", TRUE, "More than 2 hours")</f>
        <v>More than 2 hours</v>
      </c>
      <c r="O622">
        <f>ROUND(calls[[#This Row],[Satisfaction Rating]],0)</f>
        <v>4</v>
      </c>
    </row>
    <row r="623" spans="2:15" x14ac:dyDescent="0.25">
      <c r="B623" t="s">
        <v>644</v>
      </c>
      <c r="C623" t="s">
        <v>22</v>
      </c>
      <c r="D623">
        <f>VLOOKUP(C623,customers[],3,0)</f>
        <v>37</v>
      </c>
      <c r="E623" t="str">
        <f>VLOOKUP(C623,customers[],2,0)</f>
        <v>Male</v>
      </c>
      <c r="F623" t="str">
        <f>VLOOKUP(C623,customers[],4,0)</f>
        <v>Columbus</v>
      </c>
      <c r="G623">
        <v>111</v>
      </c>
      <c r="H623" s="17" t="s">
        <v>12</v>
      </c>
      <c r="I623" s="18">
        <v>45122</v>
      </c>
      <c r="J623">
        <v>126</v>
      </c>
      <c r="K623">
        <v>4.2</v>
      </c>
      <c r="L623">
        <f>IF(MONTH(calls[[#This Row],[Date of Call]])&lt;=6, YEAR(calls[[#This Row],[Date of Call]]), YEAR(calls[[#This Row],[Date of Call]])+1)</f>
        <v>2024</v>
      </c>
      <c r="M623" t="str">
        <f>TEXT(calls[[#This Row],[Date of Call]],"DDDD")</f>
        <v>السبت</v>
      </c>
      <c r="N623" t="str" cm="1">
        <f t="array" ref="N623">_xlfn.IFS(calls[[#This Row],[Duration]]&lt;=10,"Under 10 mins", calls[[#This Row],[Duration]]&lt;=30, "10 to 30 mins", calls[[#This Row],[Duration]]&lt;=60, "30 to 60 mins", calls[[#This Row],[Duration]]&lt;=120, "1 to 2 hours", TRUE, "More than 2 hours")</f>
        <v>1 to 2 hours</v>
      </c>
      <c r="O623">
        <f>ROUND(calls[[#This Row],[Satisfaction Rating]],0)</f>
        <v>4</v>
      </c>
    </row>
    <row r="624" spans="2:15" x14ac:dyDescent="0.25">
      <c r="B624" t="s">
        <v>645</v>
      </c>
      <c r="C624" t="s">
        <v>11</v>
      </c>
      <c r="D624">
        <f>VLOOKUP(C624,customers[],3,0)</f>
        <v>36</v>
      </c>
      <c r="E624" t="str">
        <f>VLOOKUP(C624,customers[],2,0)</f>
        <v>Male</v>
      </c>
      <c r="F624" t="str">
        <f>VLOOKUP(C624,customers[],4,0)</f>
        <v>Cincinnati</v>
      </c>
      <c r="G624">
        <v>80</v>
      </c>
      <c r="H624" s="17" t="s">
        <v>10</v>
      </c>
      <c r="I624" s="18">
        <v>45123</v>
      </c>
      <c r="J624">
        <v>88</v>
      </c>
      <c r="K624">
        <v>4.9000000000000004</v>
      </c>
      <c r="L624">
        <f>IF(MONTH(calls[[#This Row],[Date of Call]])&lt;=6, YEAR(calls[[#This Row],[Date of Call]]), YEAR(calls[[#This Row],[Date of Call]])+1)</f>
        <v>2024</v>
      </c>
      <c r="M624" t="str">
        <f>TEXT(calls[[#This Row],[Date of Call]],"DDDD")</f>
        <v>الأحد</v>
      </c>
      <c r="N624" t="str" cm="1">
        <f t="array" ref="N624">_xlfn.IFS(calls[[#This Row],[Duration]]&lt;=10,"Under 10 mins", calls[[#This Row],[Duration]]&lt;=30, "10 to 30 mins", calls[[#This Row],[Duration]]&lt;=60, "30 to 60 mins", calls[[#This Row],[Duration]]&lt;=120, "1 to 2 hours", TRUE, "More than 2 hours")</f>
        <v>1 to 2 hours</v>
      </c>
      <c r="O624">
        <f>ROUND(calls[[#This Row],[Satisfaction Rating]],0)</f>
        <v>5</v>
      </c>
    </row>
    <row r="625" spans="2:15" x14ac:dyDescent="0.25">
      <c r="B625" t="s">
        <v>646</v>
      </c>
      <c r="C625" t="s">
        <v>19</v>
      </c>
      <c r="D625">
        <f>VLOOKUP(C625,customers[],3,0)</f>
        <v>26</v>
      </c>
      <c r="E625" t="str">
        <f>VLOOKUP(C625,customers[],2,0)</f>
        <v>Male</v>
      </c>
      <c r="F625" t="str">
        <f>VLOOKUP(C625,customers[],4,0)</f>
        <v>Cincinnati</v>
      </c>
      <c r="G625">
        <v>37</v>
      </c>
      <c r="H625" s="17" t="s">
        <v>10</v>
      </c>
      <c r="I625" s="18">
        <v>45123</v>
      </c>
      <c r="J625">
        <v>124</v>
      </c>
      <c r="K625">
        <v>4.5999999999999996</v>
      </c>
      <c r="L625">
        <f>IF(MONTH(calls[[#This Row],[Date of Call]])&lt;=6, YEAR(calls[[#This Row],[Date of Call]]), YEAR(calls[[#This Row],[Date of Call]])+1)</f>
        <v>2024</v>
      </c>
      <c r="M625" t="str">
        <f>TEXT(calls[[#This Row],[Date of Call]],"DDDD")</f>
        <v>الأحد</v>
      </c>
      <c r="N625" t="str" cm="1">
        <f t="array" ref="N625">_xlfn.IFS(calls[[#This Row],[Duration]]&lt;=10,"Under 10 mins", calls[[#This Row],[Duration]]&lt;=30, "10 to 30 mins", calls[[#This Row],[Duration]]&lt;=60, "30 to 60 mins", calls[[#This Row],[Duration]]&lt;=120, "1 to 2 hours", TRUE, "More than 2 hours")</f>
        <v>30 to 60 mins</v>
      </c>
      <c r="O625">
        <f>ROUND(calls[[#This Row],[Satisfaction Rating]],0)</f>
        <v>5</v>
      </c>
    </row>
    <row r="626" spans="2:15" x14ac:dyDescent="0.25">
      <c r="B626" t="s">
        <v>647</v>
      </c>
      <c r="C626" t="s">
        <v>16</v>
      </c>
      <c r="D626">
        <f>VLOOKUP(C626,customers[],3,0)</f>
        <v>41</v>
      </c>
      <c r="E626" t="str">
        <f>VLOOKUP(C626,customers[],2,0)</f>
        <v>Male</v>
      </c>
      <c r="F626" t="str">
        <f>VLOOKUP(C626,customers[],4,0)</f>
        <v>Columbus</v>
      </c>
      <c r="G626">
        <v>137</v>
      </c>
      <c r="H626" s="17" t="s">
        <v>10</v>
      </c>
      <c r="I626" s="18">
        <v>45124</v>
      </c>
      <c r="J626">
        <v>84</v>
      </c>
      <c r="K626">
        <v>2.6</v>
      </c>
      <c r="L626">
        <f>IF(MONTH(calls[[#This Row],[Date of Call]])&lt;=6, YEAR(calls[[#This Row],[Date of Call]]), YEAR(calls[[#This Row],[Date of Call]])+1)</f>
        <v>2024</v>
      </c>
      <c r="M626" t="str">
        <f>TEXT(calls[[#This Row],[Date of Call]],"DDDD")</f>
        <v>الإثنين</v>
      </c>
      <c r="N626" t="str" cm="1">
        <f t="array" ref="N626">_xlfn.IFS(calls[[#This Row],[Duration]]&lt;=10,"Under 10 mins", calls[[#This Row],[Duration]]&lt;=30, "10 to 30 mins", calls[[#This Row],[Duration]]&lt;=60, "30 to 60 mins", calls[[#This Row],[Duration]]&lt;=120, "1 to 2 hours", TRUE, "More than 2 hours")</f>
        <v>More than 2 hours</v>
      </c>
      <c r="O626">
        <f>ROUND(calls[[#This Row],[Satisfaction Rating]],0)</f>
        <v>3</v>
      </c>
    </row>
    <row r="627" spans="2:15" x14ac:dyDescent="0.25">
      <c r="B627" t="s">
        <v>648</v>
      </c>
      <c r="C627" t="s">
        <v>21</v>
      </c>
      <c r="D627">
        <f>VLOOKUP(C627,customers[],3,0)</f>
        <v>25</v>
      </c>
      <c r="E627" t="str">
        <f>VLOOKUP(C627,customers[],2,0)</f>
        <v>Female</v>
      </c>
      <c r="F627" t="str">
        <f>VLOOKUP(C627,customers[],4,0)</f>
        <v>Columbus</v>
      </c>
      <c r="G627">
        <v>123</v>
      </c>
      <c r="H627" s="17" t="s">
        <v>12</v>
      </c>
      <c r="I627" s="18">
        <v>45124</v>
      </c>
      <c r="J627">
        <v>80</v>
      </c>
      <c r="K627">
        <v>2.7</v>
      </c>
      <c r="L627">
        <f>IF(MONTH(calls[[#This Row],[Date of Call]])&lt;=6, YEAR(calls[[#This Row],[Date of Call]]), YEAR(calls[[#This Row],[Date of Call]])+1)</f>
        <v>2024</v>
      </c>
      <c r="M627" t="str">
        <f>TEXT(calls[[#This Row],[Date of Call]],"DDDD")</f>
        <v>الإثنين</v>
      </c>
      <c r="N627" t="str" cm="1">
        <f t="array" ref="N627">_xlfn.IFS(calls[[#This Row],[Duration]]&lt;=10,"Under 10 mins", calls[[#This Row],[Duration]]&lt;=30, "10 to 30 mins", calls[[#This Row],[Duration]]&lt;=60, "30 to 60 mins", calls[[#This Row],[Duration]]&lt;=120, "1 to 2 hours", TRUE, "More than 2 hours")</f>
        <v>More than 2 hours</v>
      </c>
      <c r="O627">
        <f>ROUND(calls[[#This Row],[Satisfaction Rating]],0)</f>
        <v>3</v>
      </c>
    </row>
    <row r="628" spans="2:15" x14ac:dyDescent="0.25">
      <c r="B628" t="s">
        <v>649</v>
      </c>
      <c r="C628" t="s">
        <v>15</v>
      </c>
      <c r="D628">
        <f>VLOOKUP(C628,customers[],3,0)</f>
        <v>28</v>
      </c>
      <c r="E628" t="str">
        <f>VLOOKUP(C628,customers[],2,0)</f>
        <v>Female</v>
      </c>
      <c r="F628" t="str">
        <f>VLOOKUP(C628,customers[],4,0)</f>
        <v>Cincinnati</v>
      </c>
      <c r="G628">
        <v>105</v>
      </c>
      <c r="H628" s="17" t="s">
        <v>12</v>
      </c>
      <c r="I628" s="18">
        <v>45125</v>
      </c>
      <c r="J628">
        <v>176</v>
      </c>
      <c r="K628">
        <v>4.7</v>
      </c>
      <c r="L628">
        <f>IF(MONTH(calls[[#This Row],[Date of Call]])&lt;=6, YEAR(calls[[#This Row],[Date of Call]]), YEAR(calls[[#This Row],[Date of Call]])+1)</f>
        <v>2024</v>
      </c>
      <c r="M628" t="str">
        <f>TEXT(calls[[#This Row],[Date of Call]],"DDDD")</f>
        <v>الثلاثاء</v>
      </c>
      <c r="N628" t="str" cm="1">
        <f t="array" ref="N628">_xlfn.IFS(calls[[#This Row],[Duration]]&lt;=10,"Under 10 mins", calls[[#This Row],[Duration]]&lt;=30, "10 to 30 mins", calls[[#This Row],[Duration]]&lt;=60, "30 to 60 mins", calls[[#This Row],[Duration]]&lt;=120, "1 to 2 hours", TRUE, "More than 2 hours")</f>
        <v>1 to 2 hours</v>
      </c>
      <c r="O628">
        <f>ROUND(calls[[#This Row],[Satisfaction Rating]],0)</f>
        <v>5</v>
      </c>
    </row>
    <row r="629" spans="2:15" x14ac:dyDescent="0.25">
      <c r="B629" t="s">
        <v>650</v>
      </c>
      <c r="C629" t="s">
        <v>19</v>
      </c>
      <c r="D629">
        <f>VLOOKUP(C629,customers[],3,0)</f>
        <v>26</v>
      </c>
      <c r="E629" t="str">
        <f>VLOOKUP(C629,customers[],2,0)</f>
        <v>Male</v>
      </c>
      <c r="F629" t="str">
        <f>VLOOKUP(C629,customers[],4,0)</f>
        <v>Cincinnati</v>
      </c>
      <c r="G629">
        <v>76</v>
      </c>
      <c r="H629" s="17" t="s">
        <v>5</v>
      </c>
      <c r="I629" s="18">
        <v>45126</v>
      </c>
      <c r="J629">
        <v>84</v>
      </c>
      <c r="K629">
        <v>3.9</v>
      </c>
      <c r="L629">
        <f>IF(MONTH(calls[[#This Row],[Date of Call]])&lt;=6, YEAR(calls[[#This Row],[Date of Call]]), YEAR(calls[[#This Row],[Date of Call]])+1)</f>
        <v>2024</v>
      </c>
      <c r="M629" t="str">
        <f>TEXT(calls[[#This Row],[Date of Call]],"DDDD")</f>
        <v>الأربعاء</v>
      </c>
      <c r="N629" t="str" cm="1">
        <f t="array" ref="N629">_xlfn.IFS(calls[[#This Row],[Duration]]&lt;=10,"Under 10 mins", calls[[#This Row],[Duration]]&lt;=30, "10 to 30 mins", calls[[#This Row],[Duration]]&lt;=60, "30 to 60 mins", calls[[#This Row],[Duration]]&lt;=120, "1 to 2 hours", TRUE, "More than 2 hours")</f>
        <v>1 to 2 hours</v>
      </c>
      <c r="O629">
        <f>ROUND(calls[[#This Row],[Satisfaction Rating]],0)</f>
        <v>4</v>
      </c>
    </row>
    <row r="630" spans="2:15" x14ac:dyDescent="0.25">
      <c r="B630" t="s">
        <v>651</v>
      </c>
      <c r="C630" t="s">
        <v>11</v>
      </c>
      <c r="D630">
        <f>VLOOKUP(C630,customers[],3,0)</f>
        <v>36</v>
      </c>
      <c r="E630" t="str">
        <f>VLOOKUP(C630,customers[],2,0)</f>
        <v>Male</v>
      </c>
      <c r="F630" t="str">
        <f>VLOOKUP(C630,customers[],4,0)</f>
        <v>Cincinnati</v>
      </c>
      <c r="G630">
        <v>144</v>
      </c>
      <c r="H630" s="17" t="s">
        <v>5</v>
      </c>
      <c r="I630" s="18">
        <v>45126</v>
      </c>
      <c r="J630">
        <v>164</v>
      </c>
      <c r="K630">
        <v>2.8</v>
      </c>
      <c r="L630">
        <f>IF(MONTH(calls[[#This Row],[Date of Call]])&lt;=6, YEAR(calls[[#This Row],[Date of Call]]), YEAR(calls[[#This Row],[Date of Call]])+1)</f>
        <v>2024</v>
      </c>
      <c r="M630" t="str">
        <f>TEXT(calls[[#This Row],[Date of Call]],"DDDD")</f>
        <v>الأربعاء</v>
      </c>
      <c r="N630" t="str" cm="1">
        <f t="array" ref="N630">_xlfn.IFS(calls[[#This Row],[Duration]]&lt;=10,"Under 10 mins", calls[[#This Row],[Duration]]&lt;=30, "10 to 30 mins", calls[[#This Row],[Duration]]&lt;=60, "30 to 60 mins", calls[[#This Row],[Duration]]&lt;=120, "1 to 2 hours", TRUE, "More than 2 hours")</f>
        <v>More than 2 hours</v>
      </c>
      <c r="O630">
        <f>ROUND(calls[[#This Row],[Satisfaction Rating]],0)</f>
        <v>3</v>
      </c>
    </row>
    <row r="631" spans="2:15" x14ac:dyDescent="0.25">
      <c r="B631" t="s">
        <v>652</v>
      </c>
      <c r="C631" t="s">
        <v>4</v>
      </c>
      <c r="D631">
        <f>VLOOKUP(C631,customers[],3,0)</f>
        <v>42</v>
      </c>
      <c r="E631" t="str">
        <f>VLOOKUP(C631,customers[],2,0)</f>
        <v>Female</v>
      </c>
      <c r="F631" t="str">
        <f>VLOOKUP(C631,customers[],4,0)</f>
        <v>Cleveland</v>
      </c>
      <c r="G631">
        <v>109</v>
      </c>
      <c r="H631" s="17" t="s">
        <v>9</v>
      </c>
      <c r="I631" s="18">
        <v>45126</v>
      </c>
      <c r="J631">
        <v>132</v>
      </c>
      <c r="K631">
        <v>3.1</v>
      </c>
      <c r="L631">
        <f>IF(MONTH(calls[[#This Row],[Date of Call]])&lt;=6, YEAR(calls[[#This Row],[Date of Call]]), YEAR(calls[[#This Row],[Date of Call]])+1)</f>
        <v>2024</v>
      </c>
      <c r="M631" t="str">
        <f>TEXT(calls[[#This Row],[Date of Call]],"DDDD")</f>
        <v>الأربعاء</v>
      </c>
      <c r="N631" t="str" cm="1">
        <f t="array" ref="N631">_xlfn.IFS(calls[[#This Row],[Duration]]&lt;=10,"Under 10 mins", calls[[#This Row],[Duration]]&lt;=30, "10 to 30 mins", calls[[#This Row],[Duration]]&lt;=60, "30 to 60 mins", calls[[#This Row],[Duration]]&lt;=120, "1 to 2 hours", TRUE, "More than 2 hours")</f>
        <v>1 to 2 hours</v>
      </c>
      <c r="O631">
        <f>ROUND(calls[[#This Row],[Satisfaction Rating]],0)</f>
        <v>3</v>
      </c>
    </row>
    <row r="632" spans="2:15" x14ac:dyDescent="0.25">
      <c r="B632" t="s">
        <v>653</v>
      </c>
      <c r="C632" t="s">
        <v>21</v>
      </c>
      <c r="D632">
        <f>VLOOKUP(C632,customers[],3,0)</f>
        <v>25</v>
      </c>
      <c r="E632" t="str">
        <f>VLOOKUP(C632,customers[],2,0)</f>
        <v>Female</v>
      </c>
      <c r="F632" t="str">
        <f>VLOOKUP(C632,customers[],4,0)</f>
        <v>Columbus</v>
      </c>
      <c r="G632">
        <v>172</v>
      </c>
      <c r="H632" s="17" t="s">
        <v>10</v>
      </c>
      <c r="I632" s="18">
        <v>45127</v>
      </c>
      <c r="J632">
        <v>27</v>
      </c>
      <c r="K632">
        <v>4.2</v>
      </c>
      <c r="L632">
        <f>IF(MONTH(calls[[#This Row],[Date of Call]])&lt;=6, YEAR(calls[[#This Row],[Date of Call]]), YEAR(calls[[#This Row],[Date of Call]])+1)</f>
        <v>2024</v>
      </c>
      <c r="M632" t="str">
        <f>TEXT(calls[[#This Row],[Date of Call]],"DDDD")</f>
        <v>الخميس</v>
      </c>
      <c r="N632" t="str" cm="1">
        <f t="array" ref="N632">_xlfn.IFS(calls[[#This Row],[Duration]]&lt;=10,"Under 10 mins", calls[[#This Row],[Duration]]&lt;=30, "10 to 30 mins", calls[[#This Row],[Duration]]&lt;=60, "30 to 60 mins", calls[[#This Row],[Duration]]&lt;=120, "1 to 2 hours", TRUE, "More than 2 hours")</f>
        <v>More than 2 hours</v>
      </c>
      <c r="O632">
        <f>ROUND(calls[[#This Row],[Satisfaction Rating]],0)</f>
        <v>4</v>
      </c>
    </row>
    <row r="633" spans="2:15" x14ac:dyDescent="0.25">
      <c r="B633" t="s">
        <v>654</v>
      </c>
      <c r="C633" t="s">
        <v>11</v>
      </c>
      <c r="D633">
        <f>VLOOKUP(C633,customers[],3,0)</f>
        <v>36</v>
      </c>
      <c r="E633" t="str">
        <f>VLOOKUP(C633,customers[],2,0)</f>
        <v>Male</v>
      </c>
      <c r="F633" t="str">
        <f>VLOOKUP(C633,customers[],4,0)</f>
        <v>Cincinnati</v>
      </c>
      <c r="G633">
        <v>56</v>
      </c>
      <c r="H633" s="17" t="s">
        <v>12</v>
      </c>
      <c r="I633" s="18">
        <v>45127</v>
      </c>
      <c r="J633">
        <v>27</v>
      </c>
      <c r="K633">
        <v>4.3</v>
      </c>
      <c r="L633">
        <f>IF(MONTH(calls[[#This Row],[Date of Call]])&lt;=6, YEAR(calls[[#This Row],[Date of Call]]), YEAR(calls[[#This Row],[Date of Call]])+1)</f>
        <v>2024</v>
      </c>
      <c r="M633" t="str">
        <f>TEXT(calls[[#This Row],[Date of Call]],"DDDD")</f>
        <v>الخميس</v>
      </c>
      <c r="N633" t="str" cm="1">
        <f t="array" ref="N633">_xlfn.IFS(calls[[#This Row],[Duration]]&lt;=10,"Under 10 mins", calls[[#This Row],[Duration]]&lt;=30, "10 to 30 mins", calls[[#This Row],[Duration]]&lt;=60, "30 to 60 mins", calls[[#This Row],[Duration]]&lt;=120, "1 to 2 hours", TRUE, "More than 2 hours")</f>
        <v>30 to 60 mins</v>
      </c>
      <c r="O633">
        <f>ROUND(calls[[#This Row],[Satisfaction Rating]],0)</f>
        <v>4</v>
      </c>
    </row>
    <row r="634" spans="2:15" x14ac:dyDescent="0.25">
      <c r="B634" t="s">
        <v>655</v>
      </c>
      <c r="C634" t="s">
        <v>11</v>
      </c>
      <c r="D634">
        <f>VLOOKUP(C634,customers[],3,0)</f>
        <v>36</v>
      </c>
      <c r="E634" t="str">
        <f>VLOOKUP(C634,customers[],2,0)</f>
        <v>Male</v>
      </c>
      <c r="F634" t="str">
        <f>VLOOKUP(C634,customers[],4,0)</f>
        <v>Cincinnati</v>
      </c>
      <c r="G634">
        <v>121</v>
      </c>
      <c r="H634" s="17" t="s">
        <v>8</v>
      </c>
      <c r="I634" s="18">
        <v>45127</v>
      </c>
      <c r="J634">
        <v>20</v>
      </c>
      <c r="K634">
        <v>2.7</v>
      </c>
      <c r="L634">
        <f>IF(MONTH(calls[[#This Row],[Date of Call]])&lt;=6, YEAR(calls[[#This Row],[Date of Call]]), YEAR(calls[[#This Row],[Date of Call]])+1)</f>
        <v>2024</v>
      </c>
      <c r="M634" t="str">
        <f>TEXT(calls[[#This Row],[Date of Call]],"DDDD")</f>
        <v>الخميس</v>
      </c>
      <c r="N634" t="str" cm="1">
        <f t="array" ref="N634">_xlfn.IFS(calls[[#This Row],[Duration]]&lt;=10,"Under 10 mins", calls[[#This Row],[Duration]]&lt;=30, "10 to 30 mins", calls[[#This Row],[Duration]]&lt;=60, "30 to 60 mins", calls[[#This Row],[Duration]]&lt;=120, "1 to 2 hours", TRUE, "More than 2 hours")</f>
        <v>More than 2 hours</v>
      </c>
      <c r="O634">
        <f>ROUND(calls[[#This Row],[Satisfaction Rating]],0)</f>
        <v>3</v>
      </c>
    </row>
    <row r="635" spans="2:15" x14ac:dyDescent="0.25">
      <c r="B635" t="s">
        <v>656</v>
      </c>
      <c r="C635" t="s">
        <v>21</v>
      </c>
      <c r="D635">
        <f>VLOOKUP(C635,customers[],3,0)</f>
        <v>25</v>
      </c>
      <c r="E635" t="str">
        <f>VLOOKUP(C635,customers[],2,0)</f>
        <v>Female</v>
      </c>
      <c r="F635" t="str">
        <f>VLOOKUP(C635,customers[],4,0)</f>
        <v>Columbus</v>
      </c>
      <c r="G635">
        <v>41</v>
      </c>
      <c r="H635" s="17" t="s">
        <v>12</v>
      </c>
      <c r="I635" s="18">
        <v>45128</v>
      </c>
      <c r="J635">
        <v>112</v>
      </c>
      <c r="K635">
        <v>2.2999999999999998</v>
      </c>
      <c r="L635">
        <f>IF(MONTH(calls[[#This Row],[Date of Call]])&lt;=6, YEAR(calls[[#This Row],[Date of Call]]), YEAR(calls[[#This Row],[Date of Call]])+1)</f>
        <v>2024</v>
      </c>
      <c r="M635" t="str">
        <f>TEXT(calls[[#This Row],[Date of Call]],"DDDD")</f>
        <v>الجمعة</v>
      </c>
      <c r="N635" t="str" cm="1">
        <f t="array" ref="N635">_xlfn.IFS(calls[[#This Row],[Duration]]&lt;=10,"Under 10 mins", calls[[#This Row],[Duration]]&lt;=30, "10 to 30 mins", calls[[#This Row],[Duration]]&lt;=60, "30 to 60 mins", calls[[#This Row],[Duration]]&lt;=120, "1 to 2 hours", TRUE, "More than 2 hours")</f>
        <v>30 to 60 mins</v>
      </c>
      <c r="O635">
        <f>ROUND(calls[[#This Row],[Satisfaction Rating]],0)</f>
        <v>2</v>
      </c>
    </row>
    <row r="636" spans="2:15" x14ac:dyDescent="0.25">
      <c r="B636" t="s">
        <v>657</v>
      </c>
      <c r="C636" t="s">
        <v>20</v>
      </c>
      <c r="D636">
        <f>VLOOKUP(C636,customers[],3,0)</f>
        <v>38</v>
      </c>
      <c r="E636" t="str">
        <f>VLOOKUP(C636,customers[],2,0)</f>
        <v>Female</v>
      </c>
      <c r="F636" t="str">
        <f>VLOOKUP(C636,customers[],4,0)</f>
        <v>Columbus</v>
      </c>
      <c r="G636">
        <v>60</v>
      </c>
      <c r="H636" s="17" t="s">
        <v>10</v>
      </c>
      <c r="I636" s="18">
        <v>45128</v>
      </c>
      <c r="J636">
        <v>60</v>
      </c>
      <c r="K636">
        <v>2.2999999999999998</v>
      </c>
      <c r="L636">
        <f>IF(MONTH(calls[[#This Row],[Date of Call]])&lt;=6, YEAR(calls[[#This Row],[Date of Call]]), YEAR(calls[[#This Row],[Date of Call]])+1)</f>
        <v>2024</v>
      </c>
      <c r="M636" t="str">
        <f>TEXT(calls[[#This Row],[Date of Call]],"DDDD")</f>
        <v>الجمعة</v>
      </c>
      <c r="N636" t="str" cm="1">
        <f t="array" ref="N636">_xlfn.IFS(calls[[#This Row],[Duration]]&lt;=10,"Under 10 mins", calls[[#This Row],[Duration]]&lt;=30, "10 to 30 mins", calls[[#This Row],[Duration]]&lt;=60, "30 to 60 mins", calls[[#This Row],[Duration]]&lt;=120, "1 to 2 hours", TRUE, "More than 2 hours")</f>
        <v>30 to 60 mins</v>
      </c>
      <c r="O636">
        <f>ROUND(calls[[#This Row],[Satisfaction Rating]],0)</f>
        <v>2</v>
      </c>
    </row>
    <row r="637" spans="2:15" x14ac:dyDescent="0.25">
      <c r="B637" t="s">
        <v>658</v>
      </c>
      <c r="C637" t="s">
        <v>20</v>
      </c>
      <c r="D637">
        <f>VLOOKUP(C637,customers[],3,0)</f>
        <v>38</v>
      </c>
      <c r="E637" t="str">
        <f>VLOOKUP(C637,customers[],2,0)</f>
        <v>Female</v>
      </c>
      <c r="F637" t="str">
        <f>VLOOKUP(C637,customers[],4,0)</f>
        <v>Columbus</v>
      </c>
      <c r="G637">
        <v>144</v>
      </c>
      <c r="H637" s="17" t="s">
        <v>10</v>
      </c>
      <c r="I637" s="18">
        <v>45129</v>
      </c>
      <c r="J637">
        <v>102</v>
      </c>
      <c r="K637">
        <v>2.9</v>
      </c>
      <c r="L637">
        <f>IF(MONTH(calls[[#This Row],[Date of Call]])&lt;=6, YEAR(calls[[#This Row],[Date of Call]]), YEAR(calls[[#This Row],[Date of Call]])+1)</f>
        <v>2024</v>
      </c>
      <c r="M637" t="str">
        <f>TEXT(calls[[#This Row],[Date of Call]],"DDDD")</f>
        <v>السبت</v>
      </c>
      <c r="N637" t="str" cm="1">
        <f t="array" ref="N637">_xlfn.IFS(calls[[#This Row],[Duration]]&lt;=10,"Under 10 mins", calls[[#This Row],[Duration]]&lt;=30, "10 to 30 mins", calls[[#This Row],[Duration]]&lt;=60, "30 to 60 mins", calls[[#This Row],[Duration]]&lt;=120, "1 to 2 hours", TRUE, "More than 2 hours")</f>
        <v>More than 2 hours</v>
      </c>
      <c r="O637">
        <f>ROUND(calls[[#This Row],[Satisfaction Rating]],0)</f>
        <v>3</v>
      </c>
    </row>
    <row r="638" spans="2:15" x14ac:dyDescent="0.25">
      <c r="B638" t="s">
        <v>659</v>
      </c>
      <c r="C638" t="s">
        <v>7</v>
      </c>
      <c r="D638">
        <f>VLOOKUP(C638,customers[],3,0)</f>
        <v>30</v>
      </c>
      <c r="E638" t="str">
        <f>VLOOKUP(C638,customers[],2,0)</f>
        <v>Female</v>
      </c>
      <c r="F638" t="str">
        <f>VLOOKUP(C638,customers[],4,0)</f>
        <v>Cincinnati</v>
      </c>
      <c r="G638">
        <v>67</v>
      </c>
      <c r="H638" s="17" t="s">
        <v>10</v>
      </c>
      <c r="I638" s="18">
        <v>45129</v>
      </c>
      <c r="J638">
        <v>38</v>
      </c>
      <c r="K638">
        <v>4.2</v>
      </c>
      <c r="L638">
        <f>IF(MONTH(calls[[#This Row],[Date of Call]])&lt;=6, YEAR(calls[[#This Row],[Date of Call]]), YEAR(calls[[#This Row],[Date of Call]])+1)</f>
        <v>2024</v>
      </c>
      <c r="M638" t="str">
        <f>TEXT(calls[[#This Row],[Date of Call]],"DDDD")</f>
        <v>السبت</v>
      </c>
      <c r="N638" t="str" cm="1">
        <f t="array" ref="N638">_xlfn.IFS(calls[[#This Row],[Duration]]&lt;=10,"Under 10 mins", calls[[#This Row],[Duration]]&lt;=30, "10 to 30 mins", calls[[#This Row],[Duration]]&lt;=60, "30 to 60 mins", calls[[#This Row],[Duration]]&lt;=120, "1 to 2 hours", TRUE, "More than 2 hours")</f>
        <v>1 to 2 hours</v>
      </c>
      <c r="O638">
        <f>ROUND(calls[[#This Row],[Satisfaction Rating]],0)</f>
        <v>4</v>
      </c>
    </row>
    <row r="639" spans="2:15" x14ac:dyDescent="0.25">
      <c r="B639" t="s">
        <v>660</v>
      </c>
      <c r="C639" t="s">
        <v>21</v>
      </c>
      <c r="D639">
        <f>VLOOKUP(C639,customers[],3,0)</f>
        <v>25</v>
      </c>
      <c r="E639" t="str">
        <f>VLOOKUP(C639,customers[],2,0)</f>
        <v>Female</v>
      </c>
      <c r="F639" t="str">
        <f>VLOOKUP(C639,customers[],4,0)</f>
        <v>Columbus</v>
      </c>
      <c r="G639">
        <v>162</v>
      </c>
      <c r="H639" s="17" t="s">
        <v>9</v>
      </c>
      <c r="I639" s="18">
        <v>45129</v>
      </c>
      <c r="J639">
        <v>82</v>
      </c>
      <c r="K639">
        <v>4.5999999999999996</v>
      </c>
      <c r="L639">
        <f>IF(MONTH(calls[[#This Row],[Date of Call]])&lt;=6, YEAR(calls[[#This Row],[Date of Call]]), YEAR(calls[[#This Row],[Date of Call]])+1)</f>
        <v>2024</v>
      </c>
      <c r="M639" t="str">
        <f>TEXT(calls[[#This Row],[Date of Call]],"DDDD")</f>
        <v>السبت</v>
      </c>
      <c r="N639" t="str" cm="1">
        <f t="array" ref="N639">_xlfn.IFS(calls[[#This Row],[Duration]]&lt;=10,"Under 10 mins", calls[[#This Row],[Duration]]&lt;=30, "10 to 30 mins", calls[[#This Row],[Duration]]&lt;=60, "30 to 60 mins", calls[[#This Row],[Duration]]&lt;=120, "1 to 2 hours", TRUE, "More than 2 hours")</f>
        <v>More than 2 hours</v>
      </c>
      <c r="O639">
        <f>ROUND(calls[[#This Row],[Satisfaction Rating]],0)</f>
        <v>5</v>
      </c>
    </row>
    <row r="640" spans="2:15" x14ac:dyDescent="0.25">
      <c r="B640" t="s">
        <v>661</v>
      </c>
      <c r="C640" t="s">
        <v>20</v>
      </c>
      <c r="D640">
        <f>VLOOKUP(C640,customers[],3,0)</f>
        <v>38</v>
      </c>
      <c r="E640" t="str">
        <f>VLOOKUP(C640,customers[],2,0)</f>
        <v>Female</v>
      </c>
      <c r="F640" t="str">
        <f>VLOOKUP(C640,customers[],4,0)</f>
        <v>Columbus</v>
      </c>
      <c r="G640">
        <v>87</v>
      </c>
      <c r="H640" s="17" t="s">
        <v>8</v>
      </c>
      <c r="I640" s="18">
        <v>45132</v>
      </c>
      <c r="J640">
        <v>125</v>
      </c>
      <c r="K640">
        <v>4.5</v>
      </c>
      <c r="L640">
        <f>IF(MONTH(calls[[#This Row],[Date of Call]])&lt;=6, YEAR(calls[[#This Row],[Date of Call]]), YEAR(calls[[#This Row],[Date of Call]])+1)</f>
        <v>2024</v>
      </c>
      <c r="M640" t="str">
        <f>TEXT(calls[[#This Row],[Date of Call]],"DDDD")</f>
        <v>الثلاثاء</v>
      </c>
      <c r="N640" t="str" cm="1">
        <f t="array" ref="N640">_xlfn.IFS(calls[[#This Row],[Duration]]&lt;=10,"Under 10 mins", calls[[#This Row],[Duration]]&lt;=30, "10 to 30 mins", calls[[#This Row],[Duration]]&lt;=60, "30 to 60 mins", calls[[#This Row],[Duration]]&lt;=120, "1 to 2 hours", TRUE, "More than 2 hours")</f>
        <v>1 to 2 hours</v>
      </c>
      <c r="O640">
        <f>ROUND(calls[[#This Row],[Satisfaction Rating]],0)</f>
        <v>5</v>
      </c>
    </row>
    <row r="641" spans="2:15" x14ac:dyDescent="0.25">
      <c r="B641" t="s">
        <v>662</v>
      </c>
      <c r="C641" t="s">
        <v>18</v>
      </c>
      <c r="D641">
        <f>VLOOKUP(C641,customers[],3,0)</f>
        <v>43</v>
      </c>
      <c r="E641" t="str">
        <f>VLOOKUP(C641,customers[],2,0)</f>
        <v>Female</v>
      </c>
      <c r="F641" t="str">
        <f>VLOOKUP(C641,customers[],4,0)</f>
        <v>Cleveland</v>
      </c>
      <c r="G641">
        <v>10</v>
      </c>
      <c r="H641" s="17" t="s">
        <v>5</v>
      </c>
      <c r="I641" s="18">
        <v>45133</v>
      </c>
      <c r="J641">
        <v>72</v>
      </c>
      <c r="K641">
        <v>3.7</v>
      </c>
      <c r="L641">
        <f>IF(MONTH(calls[[#This Row],[Date of Call]])&lt;=6, YEAR(calls[[#This Row],[Date of Call]]), YEAR(calls[[#This Row],[Date of Call]])+1)</f>
        <v>2024</v>
      </c>
      <c r="M641" t="str">
        <f>TEXT(calls[[#This Row],[Date of Call]],"DDDD")</f>
        <v>الأربعاء</v>
      </c>
      <c r="N641" t="str" cm="1">
        <f t="array" ref="N641">_xlfn.IFS(calls[[#This Row],[Duration]]&lt;=10,"Under 10 mins", calls[[#This Row],[Duration]]&lt;=30, "10 to 30 mins", calls[[#This Row],[Duration]]&lt;=60, "30 to 60 mins", calls[[#This Row],[Duration]]&lt;=120, "1 to 2 hours", TRUE, "More than 2 hours")</f>
        <v>Under 10 mins</v>
      </c>
      <c r="O641">
        <f>ROUND(calls[[#This Row],[Satisfaction Rating]],0)</f>
        <v>4</v>
      </c>
    </row>
    <row r="642" spans="2:15" x14ac:dyDescent="0.25">
      <c r="B642" t="s">
        <v>663</v>
      </c>
      <c r="C642" t="s">
        <v>11</v>
      </c>
      <c r="D642">
        <f>VLOOKUP(C642,customers[],3,0)</f>
        <v>36</v>
      </c>
      <c r="E642" t="str">
        <f>VLOOKUP(C642,customers[],2,0)</f>
        <v>Male</v>
      </c>
      <c r="F642" t="str">
        <f>VLOOKUP(C642,customers[],4,0)</f>
        <v>Cincinnati</v>
      </c>
      <c r="G642">
        <v>138</v>
      </c>
      <c r="H642" s="17" t="s">
        <v>5</v>
      </c>
      <c r="I642" s="18">
        <v>45133</v>
      </c>
      <c r="J642">
        <v>195</v>
      </c>
      <c r="K642">
        <v>4.0999999999999996</v>
      </c>
      <c r="L642">
        <f>IF(MONTH(calls[[#This Row],[Date of Call]])&lt;=6, YEAR(calls[[#This Row],[Date of Call]]), YEAR(calls[[#This Row],[Date of Call]])+1)</f>
        <v>2024</v>
      </c>
      <c r="M642" t="str">
        <f>TEXT(calls[[#This Row],[Date of Call]],"DDDD")</f>
        <v>الأربعاء</v>
      </c>
      <c r="N642" t="str" cm="1">
        <f t="array" ref="N642">_xlfn.IFS(calls[[#This Row],[Duration]]&lt;=10,"Under 10 mins", calls[[#This Row],[Duration]]&lt;=30, "10 to 30 mins", calls[[#This Row],[Duration]]&lt;=60, "30 to 60 mins", calls[[#This Row],[Duration]]&lt;=120, "1 to 2 hours", TRUE, "More than 2 hours")</f>
        <v>More than 2 hours</v>
      </c>
      <c r="O642">
        <f>ROUND(calls[[#This Row],[Satisfaction Rating]],0)</f>
        <v>4</v>
      </c>
    </row>
    <row r="643" spans="2:15" x14ac:dyDescent="0.25">
      <c r="B643" t="s">
        <v>664</v>
      </c>
      <c r="C643" t="s">
        <v>21</v>
      </c>
      <c r="D643">
        <f>VLOOKUP(C643,customers[],3,0)</f>
        <v>25</v>
      </c>
      <c r="E643" t="str">
        <f>VLOOKUP(C643,customers[],2,0)</f>
        <v>Female</v>
      </c>
      <c r="F643" t="str">
        <f>VLOOKUP(C643,customers[],4,0)</f>
        <v>Columbus</v>
      </c>
      <c r="G643">
        <v>31</v>
      </c>
      <c r="H643" s="17" t="s">
        <v>5</v>
      </c>
      <c r="I643" s="18">
        <v>45134</v>
      </c>
      <c r="J643">
        <v>160</v>
      </c>
      <c r="K643">
        <v>3.4</v>
      </c>
      <c r="L643">
        <f>IF(MONTH(calls[[#This Row],[Date of Call]])&lt;=6, YEAR(calls[[#This Row],[Date of Call]]), YEAR(calls[[#This Row],[Date of Call]])+1)</f>
        <v>2024</v>
      </c>
      <c r="M643" t="str">
        <f>TEXT(calls[[#This Row],[Date of Call]],"DDDD")</f>
        <v>الخميس</v>
      </c>
      <c r="N643" t="str" cm="1">
        <f t="array" ref="N643">_xlfn.IFS(calls[[#This Row],[Duration]]&lt;=10,"Under 10 mins", calls[[#This Row],[Duration]]&lt;=30, "10 to 30 mins", calls[[#This Row],[Duration]]&lt;=60, "30 to 60 mins", calls[[#This Row],[Duration]]&lt;=120, "1 to 2 hours", TRUE, "More than 2 hours")</f>
        <v>30 to 60 mins</v>
      </c>
      <c r="O643">
        <f>ROUND(calls[[#This Row],[Satisfaction Rating]],0)</f>
        <v>3</v>
      </c>
    </row>
    <row r="644" spans="2:15" x14ac:dyDescent="0.25">
      <c r="B644" t="s">
        <v>665</v>
      </c>
      <c r="C644" t="s">
        <v>15</v>
      </c>
      <c r="D644">
        <f>VLOOKUP(C644,customers[],3,0)</f>
        <v>28</v>
      </c>
      <c r="E644" t="str">
        <f>VLOOKUP(C644,customers[],2,0)</f>
        <v>Female</v>
      </c>
      <c r="F644" t="str">
        <f>VLOOKUP(C644,customers[],4,0)</f>
        <v>Cincinnati</v>
      </c>
      <c r="G644">
        <v>75</v>
      </c>
      <c r="H644" s="17" t="s">
        <v>9</v>
      </c>
      <c r="I644" s="18">
        <v>45134</v>
      </c>
      <c r="J644">
        <v>78</v>
      </c>
      <c r="K644">
        <v>3.3</v>
      </c>
      <c r="L644">
        <f>IF(MONTH(calls[[#This Row],[Date of Call]])&lt;=6, YEAR(calls[[#This Row],[Date of Call]]), YEAR(calls[[#This Row],[Date of Call]])+1)</f>
        <v>2024</v>
      </c>
      <c r="M644" t="str">
        <f>TEXT(calls[[#This Row],[Date of Call]],"DDDD")</f>
        <v>الخميس</v>
      </c>
      <c r="N644" t="str" cm="1">
        <f t="array" ref="N644">_xlfn.IFS(calls[[#This Row],[Duration]]&lt;=10,"Under 10 mins", calls[[#This Row],[Duration]]&lt;=30, "10 to 30 mins", calls[[#This Row],[Duration]]&lt;=60, "30 to 60 mins", calls[[#This Row],[Duration]]&lt;=120, "1 to 2 hours", TRUE, "More than 2 hours")</f>
        <v>1 to 2 hours</v>
      </c>
      <c r="O644">
        <f>ROUND(calls[[#This Row],[Satisfaction Rating]],0)</f>
        <v>3</v>
      </c>
    </row>
    <row r="645" spans="2:15" x14ac:dyDescent="0.25">
      <c r="B645" t="s">
        <v>666</v>
      </c>
      <c r="C645" t="s">
        <v>19</v>
      </c>
      <c r="D645">
        <f>VLOOKUP(C645,customers[],3,0)</f>
        <v>26</v>
      </c>
      <c r="E645" t="str">
        <f>VLOOKUP(C645,customers[],2,0)</f>
        <v>Male</v>
      </c>
      <c r="F645" t="str">
        <f>VLOOKUP(C645,customers[],4,0)</f>
        <v>Cincinnati</v>
      </c>
      <c r="G645">
        <v>65</v>
      </c>
      <c r="H645" s="17" t="s">
        <v>9</v>
      </c>
      <c r="I645" s="18">
        <v>45135</v>
      </c>
      <c r="J645">
        <v>70</v>
      </c>
      <c r="K645">
        <v>4.4000000000000004</v>
      </c>
      <c r="L645">
        <f>IF(MONTH(calls[[#This Row],[Date of Call]])&lt;=6, YEAR(calls[[#This Row],[Date of Call]]), YEAR(calls[[#This Row],[Date of Call]])+1)</f>
        <v>2024</v>
      </c>
      <c r="M645" t="str">
        <f>TEXT(calls[[#This Row],[Date of Call]],"DDDD")</f>
        <v>الجمعة</v>
      </c>
      <c r="N645" t="str" cm="1">
        <f t="array" ref="N645">_xlfn.IFS(calls[[#This Row],[Duration]]&lt;=10,"Under 10 mins", calls[[#This Row],[Duration]]&lt;=30, "10 to 30 mins", calls[[#This Row],[Duration]]&lt;=60, "30 to 60 mins", calls[[#This Row],[Duration]]&lt;=120, "1 to 2 hours", TRUE, "More than 2 hours")</f>
        <v>1 to 2 hours</v>
      </c>
      <c r="O645">
        <f>ROUND(calls[[#This Row],[Satisfaction Rating]],0)</f>
        <v>4</v>
      </c>
    </row>
    <row r="646" spans="2:15" x14ac:dyDescent="0.25">
      <c r="B646" t="s">
        <v>667</v>
      </c>
      <c r="C646" t="s">
        <v>22</v>
      </c>
      <c r="D646">
        <f>VLOOKUP(C646,customers[],3,0)</f>
        <v>37</v>
      </c>
      <c r="E646" t="str">
        <f>VLOOKUP(C646,customers[],2,0)</f>
        <v>Male</v>
      </c>
      <c r="F646" t="str">
        <f>VLOOKUP(C646,customers[],4,0)</f>
        <v>Columbus</v>
      </c>
      <c r="G646">
        <v>106</v>
      </c>
      <c r="H646" s="17" t="s">
        <v>12</v>
      </c>
      <c r="I646" s="18">
        <v>45135</v>
      </c>
      <c r="J646">
        <v>105</v>
      </c>
      <c r="K646">
        <v>4.2</v>
      </c>
      <c r="L646">
        <f>IF(MONTH(calls[[#This Row],[Date of Call]])&lt;=6, YEAR(calls[[#This Row],[Date of Call]]), YEAR(calls[[#This Row],[Date of Call]])+1)</f>
        <v>2024</v>
      </c>
      <c r="M646" t="str">
        <f>TEXT(calls[[#This Row],[Date of Call]],"DDDD")</f>
        <v>الجمعة</v>
      </c>
      <c r="N646" t="str" cm="1">
        <f t="array" ref="N646">_xlfn.IFS(calls[[#This Row],[Duration]]&lt;=10,"Under 10 mins", calls[[#This Row],[Duration]]&lt;=30, "10 to 30 mins", calls[[#This Row],[Duration]]&lt;=60, "30 to 60 mins", calls[[#This Row],[Duration]]&lt;=120, "1 to 2 hours", TRUE, "More than 2 hours")</f>
        <v>1 to 2 hours</v>
      </c>
      <c r="O646">
        <f>ROUND(calls[[#This Row],[Satisfaction Rating]],0)</f>
        <v>4</v>
      </c>
    </row>
    <row r="647" spans="2:15" x14ac:dyDescent="0.25">
      <c r="B647" t="s">
        <v>668</v>
      </c>
      <c r="C647" t="s">
        <v>19</v>
      </c>
      <c r="D647">
        <f>VLOOKUP(C647,customers[],3,0)</f>
        <v>26</v>
      </c>
      <c r="E647" t="str">
        <f>VLOOKUP(C647,customers[],2,0)</f>
        <v>Male</v>
      </c>
      <c r="F647" t="str">
        <f>VLOOKUP(C647,customers[],4,0)</f>
        <v>Cincinnati</v>
      </c>
      <c r="G647">
        <v>107</v>
      </c>
      <c r="H647" s="17" t="s">
        <v>12</v>
      </c>
      <c r="I647" s="18">
        <v>45136</v>
      </c>
      <c r="J647">
        <v>78</v>
      </c>
      <c r="K647">
        <v>3.4</v>
      </c>
      <c r="L647">
        <f>IF(MONTH(calls[[#This Row],[Date of Call]])&lt;=6, YEAR(calls[[#This Row],[Date of Call]]), YEAR(calls[[#This Row],[Date of Call]])+1)</f>
        <v>2024</v>
      </c>
      <c r="M647" t="str">
        <f>TEXT(calls[[#This Row],[Date of Call]],"DDDD")</f>
        <v>السبت</v>
      </c>
      <c r="N647" t="str" cm="1">
        <f t="array" ref="N647">_xlfn.IFS(calls[[#This Row],[Duration]]&lt;=10,"Under 10 mins", calls[[#This Row],[Duration]]&lt;=30, "10 to 30 mins", calls[[#This Row],[Duration]]&lt;=60, "30 to 60 mins", calls[[#This Row],[Duration]]&lt;=120, "1 to 2 hours", TRUE, "More than 2 hours")</f>
        <v>1 to 2 hours</v>
      </c>
      <c r="O647">
        <f>ROUND(calls[[#This Row],[Satisfaction Rating]],0)</f>
        <v>3</v>
      </c>
    </row>
    <row r="648" spans="2:15" x14ac:dyDescent="0.25">
      <c r="B648" t="s">
        <v>669</v>
      </c>
      <c r="C648" t="s">
        <v>16</v>
      </c>
      <c r="D648">
        <f>VLOOKUP(C648,customers[],3,0)</f>
        <v>41</v>
      </c>
      <c r="E648" t="str">
        <f>VLOOKUP(C648,customers[],2,0)</f>
        <v>Male</v>
      </c>
      <c r="F648" t="str">
        <f>VLOOKUP(C648,customers[],4,0)</f>
        <v>Columbus</v>
      </c>
      <c r="G648">
        <v>78</v>
      </c>
      <c r="H648" s="17" t="s">
        <v>12</v>
      </c>
      <c r="I648" s="18">
        <v>45138</v>
      </c>
      <c r="J648">
        <v>205</v>
      </c>
      <c r="K648">
        <v>4.4000000000000004</v>
      </c>
      <c r="L648">
        <f>IF(MONTH(calls[[#This Row],[Date of Call]])&lt;=6, YEAR(calls[[#This Row],[Date of Call]]), YEAR(calls[[#This Row],[Date of Call]])+1)</f>
        <v>2024</v>
      </c>
      <c r="M648" t="str">
        <f>TEXT(calls[[#This Row],[Date of Call]],"DDDD")</f>
        <v>الإثنين</v>
      </c>
      <c r="N648" t="str" cm="1">
        <f t="array" ref="N648">_xlfn.IFS(calls[[#This Row],[Duration]]&lt;=10,"Under 10 mins", calls[[#This Row],[Duration]]&lt;=30, "10 to 30 mins", calls[[#This Row],[Duration]]&lt;=60, "30 to 60 mins", calls[[#This Row],[Duration]]&lt;=120, "1 to 2 hours", TRUE, "More than 2 hours")</f>
        <v>1 to 2 hours</v>
      </c>
      <c r="O648">
        <f>ROUND(calls[[#This Row],[Satisfaction Rating]],0)</f>
        <v>4</v>
      </c>
    </row>
    <row r="649" spans="2:15" x14ac:dyDescent="0.25">
      <c r="B649" t="s">
        <v>670</v>
      </c>
      <c r="C649" t="s">
        <v>23</v>
      </c>
      <c r="D649">
        <f>VLOOKUP(C649,customers[],3,0)</f>
        <v>31</v>
      </c>
      <c r="E649" t="str">
        <f>VLOOKUP(C649,customers[],2,0)</f>
        <v>Male</v>
      </c>
      <c r="F649" t="str">
        <f>VLOOKUP(C649,customers[],4,0)</f>
        <v>Cleveland</v>
      </c>
      <c r="G649">
        <v>122</v>
      </c>
      <c r="H649" s="17" t="s">
        <v>12</v>
      </c>
      <c r="I649" s="18">
        <v>45138</v>
      </c>
      <c r="J649">
        <v>78</v>
      </c>
      <c r="K649">
        <v>2.7</v>
      </c>
      <c r="L649">
        <f>IF(MONTH(calls[[#This Row],[Date of Call]])&lt;=6, YEAR(calls[[#This Row],[Date of Call]]), YEAR(calls[[#This Row],[Date of Call]])+1)</f>
        <v>2024</v>
      </c>
      <c r="M649" t="str">
        <f>TEXT(calls[[#This Row],[Date of Call]],"DDDD")</f>
        <v>الإثنين</v>
      </c>
      <c r="N649" t="str" cm="1">
        <f t="array" ref="N649">_xlfn.IFS(calls[[#This Row],[Duration]]&lt;=10,"Under 10 mins", calls[[#This Row],[Duration]]&lt;=30, "10 to 30 mins", calls[[#This Row],[Duration]]&lt;=60, "30 to 60 mins", calls[[#This Row],[Duration]]&lt;=120, "1 to 2 hours", TRUE, "More than 2 hours")</f>
        <v>More than 2 hours</v>
      </c>
      <c r="O649">
        <f>ROUND(calls[[#This Row],[Satisfaction Rating]],0)</f>
        <v>3</v>
      </c>
    </row>
    <row r="650" spans="2:15" x14ac:dyDescent="0.25">
      <c r="B650" t="s">
        <v>671</v>
      </c>
      <c r="C650" t="s">
        <v>11</v>
      </c>
      <c r="D650">
        <f>VLOOKUP(C650,customers[],3,0)</f>
        <v>36</v>
      </c>
      <c r="E650" t="str">
        <f>VLOOKUP(C650,customers[],2,0)</f>
        <v>Male</v>
      </c>
      <c r="F650" t="str">
        <f>VLOOKUP(C650,customers[],4,0)</f>
        <v>Cincinnati</v>
      </c>
      <c r="G650">
        <v>58</v>
      </c>
      <c r="H650" s="17" t="s">
        <v>5</v>
      </c>
      <c r="I650" s="18">
        <v>45138</v>
      </c>
      <c r="J650">
        <v>38</v>
      </c>
      <c r="K650">
        <v>4.5</v>
      </c>
      <c r="L650">
        <f>IF(MONTH(calls[[#This Row],[Date of Call]])&lt;=6, YEAR(calls[[#This Row],[Date of Call]]), YEAR(calls[[#This Row],[Date of Call]])+1)</f>
        <v>2024</v>
      </c>
      <c r="M650" t="str">
        <f>TEXT(calls[[#This Row],[Date of Call]],"DDDD")</f>
        <v>الإثنين</v>
      </c>
      <c r="N650" t="str" cm="1">
        <f t="array" ref="N650">_xlfn.IFS(calls[[#This Row],[Duration]]&lt;=10,"Under 10 mins", calls[[#This Row],[Duration]]&lt;=30, "10 to 30 mins", calls[[#This Row],[Duration]]&lt;=60, "30 to 60 mins", calls[[#This Row],[Duration]]&lt;=120, "1 to 2 hours", TRUE, "More than 2 hours")</f>
        <v>30 to 60 mins</v>
      </c>
      <c r="O650">
        <f>ROUND(calls[[#This Row],[Satisfaction Rating]],0)</f>
        <v>5</v>
      </c>
    </row>
    <row r="651" spans="2:15" x14ac:dyDescent="0.25">
      <c r="B651" t="s">
        <v>672</v>
      </c>
      <c r="C651" t="s">
        <v>16</v>
      </c>
      <c r="D651">
        <f>VLOOKUP(C651,customers[],3,0)</f>
        <v>41</v>
      </c>
      <c r="E651" t="str">
        <f>VLOOKUP(C651,customers[],2,0)</f>
        <v>Male</v>
      </c>
      <c r="F651" t="str">
        <f>VLOOKUP(C651,customers[],4,0)</f>
        <v>Columbus</v>
      </c>
      <c r="G651">
        <v>33</v>
      </c>
      <c r="H651" s="17" t="s">
        <v>10</v>
      </c>
      <c r="I651" s="18">
        <v>45138</v>
      </c>
      <c r="J651">
        <v>92</v>
      </c>
      <c r="K651">
        <v>1.7</v>
      </c>
      <c r="L651">
        <f>IF(MONTH(calls[[#This Row],[Date of Call]])&lt;=6, YEAR(calls[[#This Row],[Date of Call]]), YEAR(calls[[#This Row],[Date of Call]])+1)</f>
        <v>2024</v>
      </c>
      <c r="M651" t="str">
        <f>TEXT(calls[[#This Row],[Date of Call]],"DDDD")</f>
        <v>الإثنين</v>
      </c>
      <c r="N651" t="str" cm="1">
        <f t="array" ref="N651">_xlfn.IFS(calls[[#This Row],[Duration]]&lt;=10,"Under 10 mins", calls[[#This Row],[Duration]]&lt;=30, "10 to 30 mins", calls[[#This Row],[Duration]]&lt;=60, "30 to 60 mins", calls[[#This Row],[Duration]]&lt;=120, "1 to 2 hours", TRUE, "More than 2 hours")</f>
        <v>30 to 60 mins</v>
      </c>
      <c r="O651">
        <f>ROUND(calls[[#This Row],[Satisfaction Rating]],0)</f>
        <v>2</v>
      </c>
    </row>
    <row r="652" spans="2:15" x14ac:dyDescent="0.25">
      <c r="B652" t="s">
        <v>673</v>
      </c>
      <c r="C652" t="s">
        <v>4</v>
      </c>
      <c r="D652">
        <f>VLOOKUP(C652,customers[],3,0)</f>
        <v>42</v>
      </c>
      <c r="E652" t="str">
        <f>VLOOKUP(C652,customers[],2,0)</f>
        <v>Female</v>
      </c>
      <c r="F652" t="str">
        <f>VLOOKUP(C652,customers[],4,0)</f>
        <v>Cleveland</v>
      </c>
      <c r="G652">
        <v>164</v>
      </c>
      <c r="H652" s="17" t="s">
        <v>9</v>
      </c>
      <c r="I652" s="18">
        <v>45138</v>
      </c>
      <c r="J652">
        <v>36</v>
      </c>
      <c r="K652">
        <v>4.7</v>
      </c>
      <c r="L652">
        <f>IF(MONTH(calls[[#This Row],[Date of Call]])&lt;=6, YEAR(calls[[#This Row],[Date of Call]]), YEAR(calls[[#This Row],[Date of Call]])+1)</f>
        <v>2024</v>
      </c>
      <c r="M652" t="str">
        <f>TEXT(calls[[#This Row],[Date of Call]],"DDDD")</f>
        <v>الإثنين</v>
      </c>
      <c r="N652" t="str" cm="1">
        <f t="array" ref="N652">_xlfn.IFS(calls[[#This Row],[Duration]]&lt;=10,"Under 10 mins", calls[[#This Row],[Duration]]&lt;=30, "10 to 30 mins", calls[[#This Row],[Duration]]&lt;=60, "30 to 60 mins", calls[[#This Row],[Duration]]&lt;=120, "1 to 2 hours", TRUE, "More than 2 hours")</f>
        <v>More than 2 hours</v>
      </c>
      <c r="O652">
        <f>ROUND(calls[[#This Row],[Satisfaction Rating]],0)</f>
        <v>5</v>
      </c>
    </row>
    <row r="653" spans="2:15" x14ac:dyDescent="0.25">
      <c r="B653" t="s">
        <v>674</v>
      </c>
      <c r="C653" t="s">
        <v>15</v>
      </c>
      <c r="D653">
        <f>VLOOKUP(C653,customers[],3,0)</f>
        <v>28</v>
      </c>
      <c r="E653" t="str">
        <f>VLOOKUP(C653,customers[],2,0)</f>
        <v>Female</v>
      </c>
      <c r="F653" t="str">
        <f>VLOOKUP(C653,customers[],4,0)</f>
        <v>Cincinnati</v>
      </c>
      <c r="G653">
        <v>163</v>
      </c>
      <c r="H653" s="17" t="s">
        <v>8</v>
      </c>
      <c r="I653" s="18">
        <v>45138</v>
      </c>
      <c r="J653">
        <v>76</v>
      </c>
      <c r="K653">
        <v>4.4000000000000004</v>
      </c>
      <c r="L653">
        <f>IF(MONTH(calls[[#This Row],[Date of Call]])&lt;=6, YEAR(calls[[#This Row],[Date of Call]]), YEAR(calls[[#This Row],[Date of Call]])+1)</f>
        <v>2024</v>
      </c>
      <c r="M653" t="str">
        <f>TEXT(calls[[#This Row],[Date of Call]],"DDDD")</f>
        <v>الإثنين</v>
      </c>
      <c r="N653" t="str" cm="1">
        <f t="array" ref="N653">_xlfn.IFS(calls[[#This Row],[Duration]]&lt;=10,"Under 10 mins", calls[[#This Row],[Duration]]&lt;=30, "10 to 30 mins", calls[[#This Row],[Duration]]&lt;=60, "30 to 60 mins", calls[[#This Row],[Duration]]&lt;=120, "1 to 2 hours", TRUE, "More than 2 hours")</f>
        <v>More than 2 hours</v>
      </c>
      <c r="O653">
        <f>ROUND(calls[[#This Row],[Satisfaction Rating]],0)</f>
        <v>4</v>
      </c>
    </row>
    <row r="654" spans="2:15" x14ac:dyDescent="0.25">
      <c r="B654" t="s">
        <v>675</v>
      </c>
      <c r="C654" t="s">
        <v>14</v>
      </c>
      <c r="D654">
        <f>VLOOKUP(C654,customers[],3,0)</f>
        <v>22</v>
      </c>
      <c r="E654" t="str">
        <f>VLOOKUP(C654,customers[],2,0)</f>
        <v>Female</v>
      </c>
      <c r="F654" t="str">
        <f>VLOOKUP(C654,customers[],4,0)</f>
        <v>Cleveland</v>
      </c>
      <c r="G654">
        <v>71</v>
      </c>
      <c r="H654" s="17" t="s">
        <v>9</v>
      </c>
      <c r="I654" s="18">
        <v>45140</v>
      </c>
      <c r="J654">
        <v>170</v>
      </c>
      <c r="K654">
        <v>3.5</v>
      </c>
      <c r="L654">
        <f>IF(MONTH(calls[[#This Row],[Date of Call]])&lt;=6, YEAR(calls[[#This Row],[Date of Call]]), YEAR(calls[[#This Row],[Date of Call]])+1)</f>
        <v>2024</v>
      </c>
      <c r="M654" t="str">
        <f>TEXT(calls[[#This Row],[Date of Call]],"DDDD")</f>
        <v>الأربعاء</v>
      </c>
      <c r="N654" t="str" cm="1">
        <f t="array" ref="N654">_xlfn.IFS(calls[[#This Row],[Duration]]&lt;=10,"Under 10 mins", calls[[#This Row],[Duration]]&lt;=30, "10 to 30 mins", calls[[#This Row],[Duration]]&lt;=60, "30 to 60 mins", calls[[#This Row],[Duration]]&lt;=120, "1 to 2 hours", TRUE, "More than 2 hours")</f>
        <v>1 to 2 hours</v>
      </c>
      <c r="O654">
        <f>ROUND(calls[[#This Row],[Satisfaction Rating]],0)</f>
        <v>4</v>
      </c>
    </row>
    <row r="655" spans="2:15" x14ac:dyDescent="0.25">
      <c r="B655" t="s">
        <v>676</v>
      </c>
      <c r="C655" t="s">
        <v>16</v>
      </c>
      <c r="D655">
        <f>VLOOKUP(C655,customers[],3,0)</f>
        <v>41</v>
      </c>
      <c r="E655" t="str">
        <f>VLOOKUP(C655,customers[],2,0)</f>
        <v>Male</v>
      </c>
      <c r="F655" t="str">
        <f>VLOOKUP(C655,customers[],4,0)</f>
        <v>Columbus</v>
      </c>
      <c r="G655">
        <v>103</v>
      </c>
      <c r="H655" s="17" t="s">
        <v>5</v>
      </c>
      <c r="I655" s="18">
        <v>45141</v>
      </c>
      <c r="J655">
        <v>117</v>
      </c>
      <c r="K655">
        <v>4.7</v>
      </c>
      <c r="L655">
        <f>IF(MONTH(calls[[#This Row],[Date of Call]])&lt;=6, YEAR(calls[[#This Row],[Date of Call]]), YEAR(calls[[#This Row],[Date of Call]])+1)</f>
        <v>2024</v>
      </c>
      <c r="M655" t="str">
        <f>TEXT(calls[[#This Row],[Date of Call]],"DDDD")</f>
        <v>الخميس</v>
      </c>
      <c r="N655" t="str" cm="1">
        <f t="array" ref="N655">_xlfn.IFS(calls[[#This Row],[Duration]]&lt;=10,"Under 10 mins", calls[[#This Row],[Duration]]&lt;=30, "10 to 30 mins", calls[[#This Row],[Duration]]&lt;=60, "30 to 60 mins", calls[[#This Row],[Duration]]&lt;=120, "1 to 2 hours", TRUE, "More than 2 hours")</f>
        <v>1 to 2 hours</v>
      </c>
      <c r="O655">
        <f>ROUND(calls[[#This Row],[Satisfaction Rating]],0)</f>
        <v>5</v>
      </c>
    </row>
    <row r="656" spans="2:15" x14ac:dyDescent="0.25">
      <c r="B656" t="s">
        <v>677</v>
      </c>
      <c r="C656" t="s">
        <v>6</v>
      </c>
      <c r="D656">
        <f>VLOOKUP(C656,customers[],3,0)</f>
        <v>23</v>
      </c>
      <c r="E656" t="str">
        <f>VLOOKUP(C656,customers[],2,0)</f>
        <v>Male</v>
      </c>
      <c r="F656" t="str">
        <f>VLOOKUP(C656,customers[],4,0)</f>
        <v>Columbus</v>
      </c>
      <c r="G656">
        <v>69</v>
      </c>
      <c r="H656" s="17" t="s">
        <v>8</v>
      </c>
      <c r="I656" s="18">
        <v>45141</v>
      </c>
      <c r="J656">
        <v>20</v>
      </c>
      <c r="K656">
        <v>4.3</v>
      </c>
      <c r="L656">
        <f>IF(MONTH(calls[[#This Row],[Date of Call]])&lt;=6, YEAR(calls[[#This Row],[Date of Call]]), YEAR(calls[[#This Row],[Date of Call]])+1)</f>
        <v>2024</v>
      </c>
      <c r="M656" t="str">
        <f>TEXT(calls[[#This Row],[Date of Call]],"DDDD")</f>
        <v>الخميس</v>
      </c>
      <c r="N656" t="str" cm="1">
        <f t="array" ref="N656">_xlfn.IFS(calls[[#This Row],[Duration]]&lt;=10,"Under 10 mins", calls[[#This Row],[Duration]]&lt;=30, "10 to 30 mins", calls[[#This Row],[Duration]]&lt;=60, "30 to 60 mins", calls[[#This Row],[Duration]]&lt;=120, "1 to 2 hours", TRUE, "More than 2 hours")</f>
        <v>1 to 2 hours</v>
      </c>
      <c r="O656">
        <f>ROUND(calls[[#This Row],[Satisfaction Rating]],0)</f>
        <v>4</v>
      </c>
    </row>
    <row r="657" spans="2:15" x14ac:dyDescent="0.25">
      <c r="B657" t="s">
        <v>678</v>
      </c>
      <c r="C657" t="s">
        <v>15</v>
      </c>
      <c r="D657">
        <f>VLOOKUP(C657,customers[],3,0)</f>
        <v>28</v>
      </c>
      <c r="E657" t="str">
        <f>VLOOKUP(C657,customers[],2,0)</f>
        <v>Female</v>
      </c>
      <c r="F657" t="str">
        <f>VLOOKUP(C657,customers[],4,0)</f>
        <v>Cincinnati</v>
      </c>
      <c r="G657">
        <v>111</v>
      </c>
      <c r="H657" s="17" t="s">
        <v>5</v>
      </c>
      <c r="I657" s="18">
        <v>45141</v>
      </c>
      <c r="J657">
        <v>99</v>
      </c>
      <c r="K657">
        <v>4.0999999999999996</v>
      </c>
      <c r="L657">
        <f>IF(MONTH(calls[[#This Row],[Date of Call]])&lt;=6, YEAR(calls[[#This Row],[Date of Call]]), YEAR(calls[[#This Row],[Date of Call]])+1)</f>
        <v>2024</v>
      </c>
      <c r="M657" t="str">
        <f>TEXT(calls[[#This Row],[Date of Call]],"DDDD")</f>
        <v>الخميس</v>
      </c>
      <c r="N657" t="str" cm="1">
        <f t="array" ref="N657">_xlfn.IFS(calls[[#This Row],[Duration]]&lt;=10,"Under 10 mins", calls[[#This Row],[Duration]]&lt;=30, "10 to 30 mins", calls[[#This Row],[Duration]]&lt;=60, "30 to 60 mins", calls[[#This Row],[Duration]]&lt;=120, "1 to 2 hours", TRUE, "More than 2 hours")</f>
        <v>1 to 2 hours</v>
      </c>
      <c r="O657">
        <f>ROUND(calls[[#This Row],[Satisfaction Rating]],0)</f>
        <v>4</v>
      </c>
    </row>
    <row r="658" spans="2:15" x14ac:dyDescent="0.25">
      <c r="B658" t="s">
        <v>679</v>
      </c>
      <c r="C658" t="s">
        <v>17</v>
      </c>
      <c r="D658">
        <f>VLOOKUP(C658,customers[],3,0)</f>
        <v>30</v>
      </c>
      <c r="E658" t="str">
        <f>VLOOKUP(C658,customers[],2,0)</f>
        <v>Female</v>
      </c>
      <c r="F658" t="str">
        <f>VLOOKUP(C658,customers[],4,0)</f>
        <v>Cleveland</v>
      </c>
      <c r="G658">
        <v>97</v>
      </c>
      <c r="H658" s="17" t="s">
        <v>8</v>
      </c>
      <c r="I658" s="18">
        <v>45142</v>
      </c>
      <c r="J658">
        <v>105</v>
      </c>
      <c r="K658">
        <v>2.9</v>
      </c>
      <c r="L658">
        <f>IF(MONTH(calls[[#This Row],[Date of Call]])&lt;=6, YEAR(calls[[#This Row],[Date of Call]]), YEAR(calls[[#This Row],[Date of Call]])+1)</f>
        <v>2024</v>
      </c>
      <c r="M658" t="str">
        <f>TEXT(calls[[#This Row],[Date of Call]],"DDDD")</f>
        <v>الجمعة</v>
      </c>
      <c r="N658" t="str" cm="1">
        <f t="array" ref="N658">_xlfn.IFS(calls[[#This Row],[Duration]]&lt;=10,"Under 10 mins", calls[[#This Row],[Duration]]&lt;=30, "10 to 30 mins", calls[[#This Row],[Duration]]&lt;=60, "30 to 60 mins", calls[[#This Row],[Duration]]&lt;=120, "1 to 2 hours", TRUE, "More than 2 hours")</f>
        <v>1 to 2 hours</v>
      </c>
      <c r="O658">
        <f>ROUND(calls[[#This Row],[Satisfaction Rating]],0)</f>
        <v>3</v>
      </c>
    </row>
    <row r="659" spans="2:15" x14ac:dyDescent="0.25">
      <c r="B659" t="s">
        <v>680</v>
      </c>
      <c r="C659" t="s">
        <v>13</v>
      </c>
      <c r="D659">
        <f>VLOOKUP(C659,customers[],3,0)</f>
        <v>37</v>
      </c>
      <c r="E659" t="str">
        <f>VLOOKUP(C659,customers[],2,0)</f>
        <v>Female</v>
      </c>
      <c r="F659" t="str">
        <f>VLOOKUP(C659,customers[],4,0)</f>
        <v>Cleveland</v>
      </c>
      <c r="G659">
        <v>144</v>
      </c>
      <c r="H659" s="17" t="s">
        <v>12</v>
      </c>
      <c r="I659" s="18">
        <v>45142</v>
      </c>
      <c r="J659">
        <v>195</v>
      </c>
      <c r="K659">
        <v>3.4</v>
      </c>
      <c r="L659">
        <f>IF(MONTH(calls[[#This Row],[Date of Call]])&lt;=6, YEAR(calls[[#This Row],[Date of Call]]), YEAR(calls[[#This Row],[Date of Call]])+1)</f>
        <v>2024</v>
      </c>
      <c r="M659" t="str">
        <f>TEXT(calls[[#This Row],[Date of Call]],"DDDD")</f>
        <v>الجمعة</v>
      </c>
      <c r="N659" t="str" cm="1">
        <f t="array" ref="N659">_xlfn.IFS(calls[[#This Row],[Duration]]&lt;=10,"Under 10 mins", calls[[#This Row],[Duration]]&lt;=30, "10 to 30 mins", calls[[#This Row],[Duration]]&lt;=60, "30 to 60 mins", calls[[#This Row],[Duration]]&lt;=120, "1 to 2 hours", TRUE, "More than 2 hours")</f>
        <v>More than 2 hours</v>
      </c>
      <c r="O659">
        <f>ROUND(calls[[#This Row],[Satisfaction Rating]],0)</f>
        <v>3</v>
      </c>
    </row>
    <row r="660" spans="2:15" x14ac:dyDescent="0.25">
      <c r="B660" t="s">
        <v>681</v>
      </c>
      <c r="C660" t="s">
        <v>22</v>
      </c>
      <c r="D660">
        <f>VLOOKUP(C660,customers[],3,0)</f>
        <v>37</v>
      </c>
      <c r="E660" t="str">
        <f>VLOOKUP(C660,customers[],2,0)</f>
        <v>Male</v>
      </c>
      <c r="F660" t="str">
        <f>VLOOKUP(C660,customers[],4,0)</f>
        <v>Columbus</v>
      </c>
      <c r="G660">
        <v>56</v>
      </c>
      <c r="H660" s="17" t="s">
        <v>8</v>
      </c>
      <c r="I660" s="18">
        <v>45143</v>
      </c>
      <c r="J660">
        <v>152</v>
      </c>
      <c r="K660">
        <v>4.5999999999999996</v>
      </c>
      <c r="L660">
        <f>IF(MONTH(calls[[#This Row],[Date of Call]])&lt;=6, YEAR(calls[[#This Row],[Date of Call]]), YEAR(calls[[#This Row],[Date of Call]])+1)</f>
        <v>2024</v>
      </c>
      <c r="M660" t="str">
        <f>TEXT(calls[[#This Row],[Date of Call]],"DDDD")</f>
        <v>السبت</v>
      </c>
      <c r="N660" t="str" cm="1">
        <f t="array" ref="N660">_xlfn.IFS(calls[[#This Row],[Duration]]&lt;=10,"Under 10 mins", calls[[#This Row],[Duration]]&lt;=30, "10 to 30 mins", calls[[#This Row],[Duration]]&lt;=60, "30 to 60 mins", calls[[#This Row],[Duration]]&lt;=120, "1 to 2 hours", TRUE, "More than 2 hours")</f>
        <v>30 to 60 mins</v>
      </c>
      <c r="O660">
        <f>ROUND(calls[[#This Row],[Satisfaction Rating]],0)</f>
        <v>5</v>
      </c>
    </row>
    <row r="661" spans="2:15" x14ac:dyDescent="0.25">
      <c r="B661" t="s">
        <v>682</v>
      </c>
      <c r="C661" t="s">
        <v>13</v>
      </c>
      <c r="D661">
        <f>VLOOKUP(C661,customers[],3,0)</f>
        <v>37</v>
      </c>
      <c r="E661" t="str">
        <f>VLOOKUP(C661,customers[],2,0)</f>
        <v>Female</v>
      </c>
      <c r="F661" t="str">
        <f>VLOOKUP(C661,customers[],4,0)</f>
        <v>Cleveland</v>
      </c>
      <c r="G661">
        <v>132</v>
      </c>
      <c r="H661" s="17" t="s">
        <v>12</v>
      </c>
      <c r="I661" s="18">
        <v>45144</v>
      </c>
      <c r="J661">
        <v>195</v>
      </c>
      <c r="K661">
        <v>4.9000000000000004</v>
      </c>
      <c r="L661">
        <f>IF(MONTH(calls[[#This Row],[Date of Call]])&lt;=6, YEAR(calls[[#This Row],[Date of Call]]), YEAR(calls[[#This Row],[Date of Call]])+1)</f>
        <v>2024</v>
      </c>
      <c r="M661" t="str">
        <f>TEXT(calls[[#This Row],[Date of Call]],"DDDD")</f>
        <v>الأحد</v>
      </c>
      <c r="N661" t="str" cm="1">
        <f t="array" ref="N661">_xlfn.IFS(calls[[#This Row],[Duration]]&lt;=10,"Under 10 mins", calls[[#This Row],[Duration]]&lt;=30, "10 to 30 mins", calls[[#This Row],[Duration]]&lt;=60, "30 to 60 mins", calls[[#This Row],[Duration]]&lt;=120, "1 to 2 hours", TRUE, "More than 2 hours")</f>
        <v>More than 2 hours</v>
      </c>
      <c r="O661">
        <f>ROUND(calls[[#This Row],[Satisfaction Rating]],0)</f>
        <v>5</v>
      </c>
    </row>
    <row r="662" spans="2:15" x14ac:dyDescent="0.25">
      <c r="B662" t="s">
        <v>683</v>
      </c>
      <c r="C662" t="s">
        <v>14</v>
      </c>
      <c r="D662">
        <f>VLOOKUP(C662,customers[],3,0)</f>
        <v>22</v>
      </c>
      <c r="E662" t="str">
        <f>VLOOKUP(C662,customers[],2,0)</f>
        <v>Female</v>
      </c>
      <c r="F662" t="str">
        <f>VLOOKUP(C662,customers[],4,0)</f>
        <v>Cleveland</v>
      </c>
      <c r="G662">
        <v>72</v>
      </c>
      <c r="H662" s="17" t="s">
        <v>10</v>
      </c>
      <c r="I662" s="18">
        <v>45144</v>
      </c>
      <c r="J662">
        <v>70</v>
      </c>
      <c r="K662">
        <v>3.6</v>
      </c>
      <c r="L662">
        <f>IF(MONTH(calls[[#This Row],[Date of Call]])&lt;=6, YEAR(calls[[#This Row],[Date of Call]]), YEAR(calls[[#This Row],[Date of Call]])+1)</f>
        <v>2024</v>
      </c>
      <c r="M662" t="str">
        <f>TEXT(calls[[#This Row],[Date of Call]],"DDDD")</f>
        <v>الأحد</v>
      </c>
      <c r="N662" t="str" cm="1">
        <f t="array" ref="N662">_xlfn.IFS(calls[[#This Row],[Duration]]&lt;=10,"Under 10 mins", calls[[#This Row],[Duration]]&lt;=30, "10 to 30 mins", calls[[#This Row],[Duration]]&lt;=60, "30 to 60 mins", calls[[#This Row],[Duration]]&lt;=120, "1 to 2 hours", TRUE, "More than 2 hours")</f>
        <v>1 to 2 hours</v>
      </c>
      <c r="O662">
        <f>ROUND(calls[[#This Row],[Satisfaction Rating]],0)</f>
        <v>4</v>
      </c>
    </row>
    <row r="663" spans="2:15" x14ac:dyDescent="0.25">
      <c r="B663" t="s">
        <v>684</v>
      </c>
      <c r="C663" t="s">
        <v>15</v>
      </c>
      <c r="D663">
        <f>VLOOKUP(C663,customers[],3,0)</f>
        <v>28</v>
      </c>
      <c r="E663" t="str">
        <f>VLOOKUP(C663,customers[],2,0)</f>
        <v>Female</v>
      </c>
      <c r="F663" t="str">
        <f>VLOOKUP(C663,customers[],4,0)</f>
        <v>Cincinnati</v>
      </c>
      <c r="G663">
        <v>18</v>
      </c>
      <c r="H663" s="17" t="s">
        <v>10</v>
      </c>
      <c r="I663" s="18">
        <v>45144</v>
      </c>
      <c r="J663">
        <v>22</v>
      </c>
      <c r="K663">
        <v>3.5</v>
      </c>
      <c r="L663">
        <f>IF(MONTH(calls[[#This Row],[Date of Call]])&lt;=6, YEAR(calls[[#This Row],[Date of Call]]), YEAR(calls[[#This Row],[Date of Call]])+1)</f>
        <v>2024</v>
      </c>
      <c r="M663" t="str">
        <f>TEXT(calls[[#This Row],[Date of Call]],"DDDD")</f>
        <v>الأحد</v>
      </c>
      <c r="N663" t="str" cm="1">
        <f t="array" ref="N663">_xlfn.IFS(calls[[#This Row],[Duration]]&lt;=10,"Under 10 mins", calls[[#This Row],[Duration]]&lt;=30, "10 to 30 mins", calls[[#This Row],[Duration]]&lt;=60, "30 to 60 mins", calls[[#This Row],[Duration]]&lt;=120, "1 to 2 hours", TRUE, "More than 2 hours")</f>
        <v>10 to 30 mins</v>
      </c>
      <c r="O663">
        <f>ROUND(calls[[#This Row],[Satisfaction Rating]],0)</f>
        <v>4</v>
      </c>
    </row>
    <row r="664" spans="2:15" x14ac:dyDescent="0.25">
      <c r="B664" t="s">
        <v>685</v>
      </c>
      <c r="C664" t="s">
        <v>7</v>
      </c>
      <c r="D664">
        <f>VLOOKUP(C664,customers[],3,0)</f>
        <v>30</v>
      </c>
      <c r="E664" t="str">
        <f>VLOOKUP(C664,customers[],2,0)</f>
        <v>Female</v>
      </c>
      <c r="F664" t="str">
        <f>VLOOKUP(C664,customers[],4,0)</f>
        <v>Cincinnati</v>
      </c>
      <c r="G664">
        <v>115</v>
      </c>
      <c r="H664" s="17" t="s">
        <v>5</v>
      </c>
      <c r="I664" s="18">
        <v>45145</v>
      </c>
      <c r="J664">
        <v>40</v>
      </c>
      <c r="K664">
        <v>3.3</v>
      </c>
      <c r="L664">
        <f>IF(MONTH(calls[[#This Row],[Date of Call]])&lt;=6, YEAR(calls[[#This Row],[Date of Call]]), YEAR(calls[[#This Row],[Date of Call]])+1)</f>
        <v>2024</v>
      </c>
      <c r="M664" t="str">
        <f>TEXT(calls[[#This Row],[Date of Call]],"DDDD")</f>
        <v>الإثنين</v>
      </c>
      <c r="N664" t="str" cm="1">
        <f t="array" ref="N664">_xlfn.IFS(calls[[#This Row],[Duration]]&lt;=10,"Under 10 mins", calls[[#This Row],[Duration]]&lt;=30, "10 to 30 mins", calls[[#This Row],[Duration]]&lt;=60, "30 to 60 mins", calls[[#This Row],[Duration]]&lt;=120, "1 to 2 hours", TRUE, "More than 2 hours")</f>
        <v>1 to 2 hours</v>
      </c>
      <c r="O664">
        <f>ROUND(calls[[#This Row],[Satisfaction Rating]],0)</f>
        <v>3</v>
      </c>
    </row>
    <row r="665" spans="2:15" x14ac:dyDescent="0.25">
      <c r="B665" t="s">
        <v>686</v>
      </c>
      <c r="C665" t="s">
        <v>7</v>
      </c>
      <c r="D665">
        <f>VLOOKUP(C665,customers[],3,0)</f>
        <v>30</v>
      </c>
      <c r="E665" t="str">
        <f>VLOOKUP(C665,customers[],2,0)</f>
        <v>Female</v>
      </c>
      <c r="F665" t="str">
        <f>VLOOKUP(C665,customers[],4,0)</f>
        <v>Cincinnati</v>
      </c>
      <c r="G665">
        <v>124</v>
      </c>
      <c r="H665" s="17" t="s">
        <v>8</v>
      </c>
      <c r="I665" s="18">
        <v>45146</v>
      </c>
      <c r="J665">
        <v>54</v>
      </c>
      <c r="K665">
        <v>3.8</v>
      </c>
      <c r="L665">
        <f>IF(MONTH(calls[[#This Row],[Date of Call]])&lt;=6, YEAR(calls[[#This Row],[Date of Call]]), YEAR(calls[[#This Row],[Date of Call]])+1)</f>
        <v>2024</v>
      </c>
      <c r="M665" t="str">
        <f>TEXT(calls[[#This Row],[Date of Call]],"DDDD")</f>
        <v>الثلاثاء</v>
      </c>
      <c r="N665" t="str" cm="1">
        <f t="array" ref="N665">_xlfn.IFS(calls[[#This Row],[Duration]]&lt;=10,"Under 10 mins", calls[[#This Row],[Duration]]&lt;=30, "10 to 30 mins", calls[[#This Row],[Duration]]&lt;=60, "30 to 60 mins", calls[[#This Row],[Duration]]&lt;=120, "1 to 2 hours", TRUE, "More than 2 hours")</f>
        <v>More than 2 hours</v>
      </c>
      <c r="O665">
        <f>ROUND(calls[[#This Row],[Satisfaction Rating]],0)</f>
        <v>4</v>
      </c>
    </row>
    <row r="666" spans="2:15" x14ac:dyDescent="0.25">
      <c r="B666" t="s">
        <v>687</v>
      </c>
      <c r="C666" t="s">
        <v>11</v>
      </c>
      <c r="D666">
        <f>VLOOKUP(C666,customers[],3,0)</f>
        <v>36</v>
      </c>
      <c r="E666" t="str">
        <f>VLOOKUP(C666,customers[],2,0)</f>
        <v>Male</v>
      </c>
      <c r="F666" t="str">
        <f>VLOOKUP(C666,customers[],4,0)</f>
        <v>Cincinnati</v>
      </c>
      <c r="G666">
        <v>130</v>
      </c>
      <c r="H666" s="17" t="s">
        <v>8</v>
      </c>
      <c r="I666" s="18">
        <v>45146</v>
      </c>
      <c r="J666">
        <v>60</v>
      </c>
      <c r="K666">
        <v>2.5</v>
      </c>
      <c r="L666">
        <f>IF(MONTH(calls[[#This Row],[Date of Call]])&lt;=6, YEAR(calls[[#This Row],[Date of Call]]), YEAR(calls[[#This Row],[Date of Call]])+1)</f>
        <v>2024</v>
      </c>
      <c r="M666" t="str">
        <f>TEXT(calls[[#This Row],[Date of Call]],"DDDD")</f>
        <v>الثلاثاء</v>
      </c>
      <c r="N666" t="str" cm="1">
        <f t="array" ref="N666">_xlfn.IFS(calls[[#This Row],[Duration]]&lt;=10,"Under 10 mins", calls[[#This Row],[Duration]]&lt;=30, "10 to 30 mins", calls[[#This Row],[Duration]]&lt;=60, "30 to 60 mins", calls[[#This Row],[Duration]]&lt;=120, "1 to 2 hours", TRUE, "More than 2 hours")</f>
        <v>More than 2 hours</v>
      </c>
      <c r="O666">
        <f>ROUND(calls[[#This Row],[Satisfaction Rating]],0)</f>
        <v>3</v>
      </c>
    </row>
    <row r="667" spans="2:15" x14ac:dyDescent="0.25">
      <c r="B667" t="s">
        <v>688</v>
      </c>
      <c r="C667" t="s">
        <v>18</v>
      </c>
      <c r="D667">
        <f>VLOOKUP(C667,customers[],3,0)</f>
        <v>43</v>
      </c>
      <c r="E667" t="str">
        <f>VLOOKUP(C667,customers[],2,0)</f>
        <v>Female</v>
      </c>
      <c r="F667" t="str">
        <f>VLOOKUP(C667,customers[],4,0)</f>
        <v>Cleveland</v>
      </c>
      <c r="G667">
        <v>120</v>
      </c>
      <c r="H667" s="17" t="s">
        <v>9</v>
      </c>
      <c r="I667" s="18">
        <v>45148</v>
      </c>
      <c r="J667">
        <v>58</v>
      </c>
      <c r="K667">
        <v>4.5999999999999996</v>
      </c>
      <c r="L667">
        <f>IF(MONTH(calls[[#This Row],[Date of Call]])&lt;=6, YEAR(calls[[#This Row],[Date of Call]]), YEAR(calls[[#This Row],[Date of Call]])+1)</f>
        <v>2024</v>
      </c>
      <c r="M667" t="str">
        <f>TEXT(calls[[#This Row],[Date of Call]],"DDDD")</f>
        <v>الخميس</v>
      </c>
      <c r="N667" t="str" cm="1">
        <f t="array" ref="N667">_xlfn.IFS(calls[[#This Row],[Duration]]&lt;=10,"Under 10 mins", calls[[#This Row],[Duration]]&lt;=30, "10 to 30 mins", calls[[#This Row],[Duration]]&lt;=60, "30 to 60 mins", calls[[#This Row],[Duration]]&lt;=120, "1 to 2 hours", TRUE, "More than 2 hours")</f>
        <v>1 to 2 hours</v>
      </c>
      <c r="O667">
        <f>ROUND(calls[[#This Row],[Satisfaction Rating]],0)</f>
        <v>5</v>
      </c>
    </row>
    <row r="668" spans="2:15" x14ac:dyDescent="0.25">
      <c r="B668" t="s">
        <v>689</v>
      </c>
      <c r="C668" t="s">
        <v>17</v>
      </c>
      <c r="D668">
        <f>VLOOKUP(C668,customers[],3,0)</f>
        <v>30</v>
      </c>
      <c r="E668" t="str">
        <f>VLOOKUP(C668,customers[],2,0)</f>
        <v>Female</v>
      </c>
      <c r="F668" t="str">
        <f>VLOOKUP(C668,customers[],4,0)</f>
        <v>Cleveland</v>
      </c>
      <c r="G668">
        <v>75</v>
      </c>
      <c r="H668" s="17" t="s">
        <v>5</v>
      </c>
      <c r="I668" s="18">
        <v>45148</v>
      </c>
      <c r="J668">
        <v>220</v>
      </c>
      <c r="K668">
        <v>4.7</v>
      </c>
      <c r="L668">
        <f>IF(MONTH(calls[[#This Row],[Date of Call]])&lt;=6, YEAR(calls[[#This Row],[Date of Call]]), YEAR(calls[[#This Row],[Date of Call]])+1)</f>
        <v>2024</v>
      </c>
      <c r="M668" t="str">
        <f>TEXT(calls[[#This Row],[Date of Call]],"DDDD")</f>
        <v>الخميس</v>
      </c>
      <c r="N668" t="str" cm="1">
        <f t="array" ref="N668">_xlfn.IFS(calls[[#This Row],[Duration]]&lt;=10,"Under 10 mins", calls[[#This Row],[Duration]]&lt;=30, "10 to 30 mins", calls[[#This Row],[Duration]]&lt;=60, "30 to 60 mins", calls[[#This Row],[Duration]]&lt;=120, "1 to 2 hours", TRUE, "More than 2 hours")</f>
        <v>1 to 2 hours</v>
      </c>
      <c r="O668">
        <f>ROUND(calls[[#This Row],[Satisfaction Rating]],0)</f>
        <v>5</v>
      </c>
    </row>
    <row r="669" spans="2:15" x14ac:dyDescent="0.25">
      <c r="B669" t="s">
        <v>690</v>
      </c>
      <c r="C669" t="s">
        <v>19</v>
      </c>
      <c r="D669">
        <f>VLOOKUP(C669,customers[],3,0)</f>
        <v>26</v>
      </c>
      <c r="E669" t="str">
        <f>VLOOKUP(C669,customers[],2,0)</f>
        <v>Male</v>
      </c>
      <c r="F669" t="str">
        <f>VLOOKUP(C669,customers[],4,0)</f>
        <v>Cincinnati</v>
      </c>
      <c r="G669">
        <v>63</v>
      </c>
      <c r="H669" s="17" t="s">
        <v>5</v>
      </c>
      <c r="I669" s="18">
        <v>45148</v>
      </c>
      <c r="J669">
        <v>27</v>
      </c>
      <c r="K669">
        <v>3.6</v>
      </c>
      <c r="L669">
        <f>IF(MONTH(calls[[#This Row],[Date of Call]])&lt;=6, YEAR(calls[[#This Row],[Date of Call]]), YEAR(calls[[#This Row],[Date of Call]])+1)</f>
        <v>2024</v>
      </c>
      <c r="M669" t="str">
        <f>TEXT(calls[[#This Row],[Date of Call]],"DDDD")</f>
        <v>الخميس</v>
      </c>
      <c r="N669" t="str" cm="1">
        <f t="array" ref="N669">_xlfn.IFS(calls[[#This Row],[Duration]]&lt;=10,"Under 10 mins", calls[[#This Row],[Duration]]&lt;=30, "10 to 30 mins", calls[[#This Row],[Duration]]&lt;=60, "30 to 60 mins", calls[[#This Row],[Duration]]&lt;=120, "1 to 2 hours", TRUE, "More than 2 hours")</f>
        <v>1 to 2 hours</v>
      </c>
      <c r="O669">
        <f>ROUND(calls[[#This Row],[Satisfaction Rating]],0)</f>
        <v>4</v>
      </c>
    </row>
    <row r="670" spans="2:15" x14ac:dyDescent="0.25">
      <c r="B670" t="s">
        <v>691</v>
      </c>
      <c r="C670" t="s">
        <v>13</v>
      </c>
      <c r="D670">
        <f>VLOOKUP(C670,customers[],3,0)</f>
        <v>37</v>
      </c>
      <c r="E670" t="str">
        <f>VLOOKUP(C670,customers[],2,0)</f>
        <v>Female</v>
      </c>
      <c r="F670" t="str">
        <f>VLOOKUP(C670,customers[],4,0)</f>
        <v>Cleveland</v>
      </c>
      <c r="G670">
        <v>74</v>
      </c>
      <c r="H670" s="17" t="s">
        <v>5</v>
      </c>
      <c r="I670" s="18">
        <v>45150</v>
      </c>
      <c r="J670">
        <v>26</v>
      </c>
      <c r="K670">
        <v>4.3</v>
      </c>
      <c r="L670">
        <f>IF(MONTH(calls[[#This Row],[Date of Call]])&lt;=6, YEAR(calls[[#This Row],[Date of Call]]), YEAR(calls[[#This Row],[Date of Call]])+1)</f>
        <v>2024</v>
      </c>
      <c r="M670" t="str">
        <f>TEXT(calls[[#This Row],[Date of Call]],"DDDD")</f>
        <v>السبت</v>
      </c>
      <c r="N670" t="str" cm="1">
        <f t="array" ref="N670">_xlfn.IFS(calls[[#This Row],[Duration]]&lt;=10,"Under 10 mins", calls[[#This Row],[Duration]]&lt;=30, "10 to 30 mins", calls[[#This Row],[Duration]]&lt;=60, "30 to 60 mins", calls[[#This Row],[Duration]]&lt;=120, "1 to 2 hours", TRUE, "More than 2 hours")</f>
        <v>1 to 2 hours</v>
      </c>
      <c r="O670">
        <f>ROUND(calls[[#This Row],[Satisfaction Rating]],0)</f>
        <v>4</v>
      </c>
    </row>
    <row r="671" spans="2:15" x14ac:dyDescent="0.25">
      <c r="B671" t="s">
        <v>692</v>
      </c>
      <c r="C671" t="s">
        <v>6</v>
      </c>
      <c r="D671">
        <f>VLOOKUP(C671,customers[],3,0)</f>
        <v>23</v>
      </c>
      <c r="E671" t="str">
        <f>VLOOKUP(C671,customers[],2,0)</f>
        <v>Male</v>
      </c>
      <c r="F671" t="str">
        <f>VLOOKUP(C671,customers[],4,0)</f>
        <v>Columbus</v>
      </c>
      <c r="G671">
        <v>134</v>
      </c>
      <c r="H671" s="17" t="s">
        <v>12</v>
      </c>
      <c r="I671" s="18">
        <v>45151</v>
      </c>
      <c r="J671">
        <v>160</v>
      </c>
      <c r="K671">
        <v>4.7</v>
      </c>
      <c r="L671">
        <f>IF(MONTH(calls[[#This Row],[Date of Call]])&lt;=6, YEAR(calls[[#This Row],[Date of Call]]), YEAR(calls[[#This Row],[Date of Call]])+1)</f>
        <v>2024</v>
      </c>
      <c r="M671" t="str">
        <f>TEXT(calls[[#This Row],[Date of Call]],"DDDD")</f>
        <v>الأحد</v>
      </c>
      <c r="N671" t="str" cm="1">
        <f t="array" ref="N671">_xlfn.IFS(calls[[#This Row],[Duration]]&lt;=10,"Under 10 mins", calls[[#This Row],[Duration]]&lt;=30, "10 to 30 mins", calls[[#This Row],[Duration]]&lt;=60, "30 to 60 mins", calls[[#This Row],[Duration]]&lt;=120, "1 to 2 hours", TRUE, "More than 2 hours")</f>
        <v>More than 2 hours</v>
      </c>
      <c r="O671">
        <f>ROUND(calls[[#This Row],[Satisfaction Rating]],0)</f>
        <v>5</v>
      </c>
    </row>
    <row r="672" spans="2:15" x14ac:dyDescent="0.25">
      <c r="B672" t="s">
        <v>693</v>
      </c>
      <c r="C672" t="s">
        <v>15</v>
      </c>
      <c r="D672">
        <f>VLOOKUP(C672,customers[],3,0)</f>
        <v>28</v>
      </c>
      <c r="E672" t="str">
        <f>VLOOKUP(C672,customers[],2,0)</f>
        <v>Female</v>
      </c>
      <c r="F672" t="str">
        <f>VLOOKUP(C672,customers[],4,0)</f>
        <v>Cincinnati</v>
      </c>
      <c r="G672">
        <v>103</v>
      </c>
      <c r="H672" s="17" t="s">
        <v>8</v>
      </c>
      <c r="I672" s="18">
        <v>45151</v>
      </c>
      <c r="J672">
        <v>200</v>
      </c>
      <c r="K672">
        <v>4.9000000000000004</v>
      </c>
      <c r="L672">
        <f>IF(MONTH(calls[[#This Row],[Date of Call]])&lt;=6, YEAR(calls[[#This Row],[Date of Call]]), YEAR(calls[[#This Row],[Date of Call]])+1)</f>
        <v>2024</v>
      </c>
      <c r="M672" t="str">
        <f>TEXT(calls[[#This Row],[Date of Call]],"DDDD")</f>
        <v>الأحد</v>
      </c>
      <c r="N672" t="str" cm="1">
        <f t="array" ref="N672">_xlfn.IFS(calls[[#This Row],[Duration]]&lt;=10,"Under 10 mins", calls[[#This Row],[Duration]]&lt;=30, "10 to 30 mins", calls[[#This Row],[Duration]]&lt;=60, "30 to 60 mins", calls[[#This Row],[Duration]]&lt;=120, "1 to 2 hours", TRUE, "More than 2 hours")</f>
        <v>1 to 2 hours</v>
      </c>
      <c r="O672">
        <f>ROUND(calls[[#This Row],[Satisfaction Rating]],0)</f>
        <v>5</v>
      </c>
    </row>
    <row r="673" spans="2:15" x14ac:dyDescent="0.25">
      <c r="B673" t="s">
        <v>694</v>
      </c>
      <c r="C673" t="s">
        <v>15</v>
      </c>
      <c r="D673">
        <f>VLOOKUP(C673,customers[],3,0)</f>
        <v>28</v>
      </c>
      <c r="E673" t="str">
        <f>VLOOKUP(C673,customers[],2,0)</f>
        <v>Female</v>
      </c>
      <c r="F673" t="str">
        <f>VLOOKUP(C673,customers[],4,0)</f>
        <v>Cincinnati</v>
      </c>
      <c r="G673">
        <v>155</v>
      </c>
      <c r="H673" s="17" t="s">
        <v>9</v>
      </c>
      <c r="I673" s="18">
        <v>45154</v>
      </c>
      <c r="J673">
        <v>135</v>
      </c>
      <c r="K673">
        <v>4.9000000000000004</v>
      </c>
      <c r="L673">
        <f>IF(MONTH(calls[[#This Row],[Date of Call]])&lt;=6, YEAR(calls[[#This Row],[Date of Call]]), YEAR(calls[[#This Row],[Date of Call]])+1)</f>
        <v>2024</v>
      </c>
      <c r="M673" t="str">
        <f>TEXT(calls[[#This Row],[Date of Call]],"DDDD")</f>
        <v>الأربعاء</v>
      </c>
      <c r="N673" t="str" cm="1">
        <f t="array" ref="N673">_xlfn.IFS(calls[[#This Row],[Duration]]&lt;=10,"Under 10 mins", calls[[#This Row],[Duration]]&lt;=30, "10 to 30 mins", calls[[#This Row],[Duration]]&lt;=60, "30 to 60 mins", calls[[#This Row],[Duration]]&lt;=120, "1 to 2 hours", TRUE, "More than 2 hours")</f>
        <v>More than 2 hours</v>
      </c>
      <c r="O673">
        <f>ROUND(calls[[#This Row],[Satisfaction Rating]],0)</f>
        <v>5</v>
      </c>
    </row>
    <row r="674" spans="2:15" x14ac:dyDescent="0.25">
      <c r="B674" t="s">
        <v>695</v>
      </c>
      <c r="C674" t="s">
        <v>19</v>
      </c>
      <c r="D674">
        <f>VLOOKUP(C674,customers[],3,0)</f>
        <v>26</v>
      </c>
      <c r="E674" t="str">
        <f>VLOOKUP(C674,customers[],2,0)</f>
        <v>Male</v>
      </c>
      <c r="F674" t="str">
        <f>VLOOKUP(C674,customers[],4,0)</f>
        <v>Cincinnati</v>
      </c>
      <c r="G674">
        <v>128</v>
      </c>
      <c r="H674" s="17" t="s">
        <v>8</v>
      </c>
      <c r="I674" s="18">
        <v>45155</v>
      </c>
      <c r="J674">
        <v>22</v>
      </c>
      <c r="K674">
        <v>1.9</v>
      </c>
      <c r="L674">
        <f>IF(MONTH(calls[[#This Row],[Date of Call]])&lt;=6, YEAR(calls[[#This Row],[Date of Call]]), YEAR(calls[[#This Row],[Date of Call]])+1)</f>
        <v>2024</v>
      </c>
      <c r="M674" t="str">
        <f>TEXT(calls[[#This Row],[Date of Call]],"DDDD")</f>
        <v>الخميس</v>
      </c>
      <c r="N674" t="str" cm="1">
        <f t="array" ref="N674">_xlfn.IFS(calls[[#This Row],[Duration]]&lt;=10,"Under 10 mins", calls[[#This Row],[Duration]]&lt;=30, "10 to 30 mins", calls[[#This Row],[Duration]]&lt;=60, "30 to 60 mins", calls[[#This Row],[Duration]]&lt;=120, "1 to 2 hours", TRUE, "More than 2 hours")</f>
        <v>More than 2 hours</v>
      </c>
      <c r="O674">
        <f>ROUND(calls[[#This Row],[Satisfaction Rating]],0)</f>
        <v>2</v>
      </c>
    </row>
    <row r="675" spans="2:15" x14ac:dyDescent="0.25">
      <c r="B675" t="s">
        <v>696</v>
      </c>
      <c r="C675" t="s">
        <v>17</v>
      </c>
      <c r="D675">
        <f>VLOOKUP(C675,customers[],3,0)</f>
        <v>30</v>
      </c>
      <c r="E675" t="str">
        <f>VLOOKUP(C675,customers[],2,0)</f>
        <v>Female</v>
      </c>
      <c r="F675" t="str">
        <f>VLOOKUP(C675,customers[],4,0)</f>
        <v>Cleveland</v>
      </c>
      <c r="G675">
        <v>89</v>
      </c>
      <c r="H675" s="17" t="s">
        <v>12</v>
      </c>
      <c r="I675" s="18">
        <v>45156</v>
      </c>
      <c r="J675">
        <v>164</v>
      </c>
      <c r="K675">
        <v>4.5</v>
      </c>
      <c r="L675">
        <f>IF(MONTH(calls[[#This Row],[Date of Call]])&lt;=6, YEAR(calls[[#This Row],[Date of Call]]), YEAR(calls[[#This Row],[Date of Call]])+1)</f>
        <v>2024</v>
      </c>
      <c r="M675" t="str">
        <f>TEXT(calls[[#This Row],[Date of Call]],"DDDD")</f>
        <v>الجمعة</v>
      </c>
      <c r="N675" t="str" cm="1">
        <f t="array" ref="N675">_xlfn.IFS(calls[[#This Row],[Duration]]&lt;=10,"Under 10 mins", calls[[#This Row],[Duration]]&lt;=30, "10 to 30 mins", calls[[#This Row],[Duration]]&lt;=60, "30 to 60 mins", calls[[#This Row],[Duration]]&lt;=120, "1 to 2 hours", TRUE, "More than 2 hours")</f>
        <v>1 to 2 hours</v>
      </c>
      <c r="O675">
        <f>ROUND(calls[[#This Row],[Satisfaction Rating]],0)</f>
        <v>5</v>
      </c>
    </row>
    <row r="676" spans="2:15" x14ac:dyDescent="0.25">
      <c r="B676" t="s">
        <v>697</v>
      </c>
      <c r="C676" t="s">
        <v>7</v>
      </c>
      <c r="D676">
        <f>VLOOKUP(C676,customers[],3,0)</f>
        <v>30</v>
      </c>
      <c r="E676" t="str">
        <f>VLOOKUP(C676,customers[],2,0)</f>
        <v>Female</v>
      </c>
      <c r="F676" t="str">
        <f>VLOOKUP(C676,customers[],4,0)</f>
        <v>Cincinnati</v>
      </c>
      <c r="G676">
        <v>81</v>
      </c>
      <c r="H676" s="17" t="s">
        <v>9</v>
      </c>
      <c r="I676" s="18">
        <v>45156</v>
      </c>
      <c r="J676">
        <v>21</v>
      </c>
      <c r="K676">
        <v>4.9000000000000004</v>
      </c>
      <c r="L676">
        <f>IF(MONTH(calls[[#This Row],[Date of Call]])&lt;=6, YEAR(calls[[#This Row],[Date of Call]]), YEAR(calls[[#This Row],[Date of Call]])+1)</f>
        <v>2024</v>
      </c>
      <c r="M676" t="str">
        <f>TEXT(calls[[#This Row],[Date of Call]],"DDDD")</f>
        <v>الجمعة</v>
      </c>
      <c r="N676" t="str" cm="1">
        <f t="array" ref="N676">_xlfn.IFS(calls[[#This Row],[Duration]]&lt;=10,"Under 10 mins", calls[[#This Row],[Duration]]&lt;=30, "10 to 30 mins", calls[[#This Row],[Duration]]&lt;=60, "30 to 60 mins", calls[[#This Row],[Duration]]&lt;=120, "1 to 2 hours", TRUE, "More than 2 hours")</f>
        <v>1 to 2 hours</v>
      </c>
      <c r="O676">
        <f>ROUND(calls[[#This Row],[Satisfaction Rating]],0)</f>
        <v>5</v>
      </c>
    </row>
    <row r="677" spans="2:15" x14ac:dyDescent="0.25">
      <c r="B677" t="s">
        <v>698</v>
      </c>
      <c r="C677" t="s">
        <v>17</v>
      </c>
      <c r="D677">
        <f>VLOOKUP(C677,customers[],3,0)</f>
        <v>30</v>
      </c>
      <c r="E677" t="str">
        <f>VLOOKUP(C677,customers[],2,0)</f>
        <v>Female</v>
      </c>
      <c r="F677" t="str">
        <f>VLOOKUP(C677,customers[],4,0)</f>
        <v>Cleveland</v>
      </c>
      <c r="G677">
        <v>66</v>
      </c>
      <c r="H677" s="17" t="s">
        <v>12</v>
      </c>
      <c r="I677" s="18">
        <v>45157</v>
      </c>
      <c r="J677">
        <v>120</v>
      </c>
      <c r="K677">
        <v>4.5</v>
      </c>
      <c r="L677">
        <f>IF(MONTH(calls[[#This Row],[Date of Call]])&lt;=6, YEAR(calls[[#This Row],[Date of Call]]), YEAR(calls[[#This Row],[Date of Call]])+1)</f>
        <v>2024</v>
      </c>
      <c r="M677" t="str">
        <f>TEXT(calls[[#This Row],[Date of Call]],"DDDD")</f>
        <v>السبت</v>
      </c>
      <c r="N677" t="str" cm="1">
        <f t="array" ref="N677">_xlfn.IFS(calls[[#This Row],[Duration]]&lt;=10,"Under 10 mins", calls[[#This Row],[Duration]]&lt;=30, "10 to 30 mins", calls[[#This Row],[Duration]]&lt;=60, "30 to 60 mins", calls[[#This Row],[Duration]]&lt;=120, "1 to 2 hours", TRUE, "More than 2 hours")</f>
        <v>1 to 2 hours</v>
      </c>
      <c r="O677">
        <f>ROUND(calls[[#This Row],[Satisfaction Rating]],0)</f>
        <v>5</v>
      </c>
    </row>
    <row r="678" spans="2:15" x14ac:dyDescent="0.25">
      <c r="B678" t="s">
        <v>699</v>
      </c>
      <c r="C678" t="s">
        <v>14</v>
      </c>
      <c r="D678">
        <f>VLOOKUP(C678,customers[],3,0)</f>
        <v>22</v>
      </c>
      <c r="E678" t="str">
        <f>VLOOKUP(C678,customers[],2,0)</f>
        <v>Female</v>
      </c>
      <c r="F678" t="str">
        <f>VLOOKUP(C678,customers[],4,0)</f>
        <v>Cleveland</v>
      </c>
      <c r="G678">
        <v>61</v>
      </c>
      <c r="H678" s="17" t="s">
        <v>10</v>
      </c>
      <c r="I678" s="18">
        <v>45157</v>
      </c>
      <c r="J678">
        <v>93</v>
      </c>
      <c r="K678">
        <v>2.7</v>
      </c>
      <c r="L678">
        <f>IF(MONTH(calls[[#This Row],[Date of Call]])&lt;=6, YEAR(calls[[#This Row],[Date of Call]]), YEAR(calls[[#This Row],[Date of Call]])+1)</f>
        <v>2024</v>
      </c>
      <c r="M678" t="str">
        <f>TEXT(calls[[#This Row],[Date of Call]],"DDDD")</f>
        <v>السبت</v>
      </c>
      <c r="N678" t="str" cm="1">
        <f t="array" ref="N678">_xlfn.IFS(calls[[#This Row],[Duration]]&lt;=10,"Under 10 mins", calls[[#This Row],[Duration]]&lt;=30, "10 to 30 mins", calls[[#This Row],[Duration]]&lt;=60, "30 to 60 mins", calls[[#This Row],[Duration]]&lt;=120, "1 to 2 hours", TRUE, "More than 2 hours")</f>
        <v>1 to 2 hours</v>
      </c>
      <c r="O678">
        <f>ROUND(calls[[#This Row],[Satisfaction Rating]],0)</f>
        <v>3</v>
      </c>
    </row>
    <row r="679" spans="2:15" x14ac:dyDescent="0.25">
      <c r="B679" t="s">
        <v>700</v>
      </c>
      <c r="C679" t="s">
        <v>7</v>
      </c>
      <c r="D679">
        <f>VLOOKUP(C679,customers[],3,0)</f>
        <v>30</v>
      </c>
      <c r="E679" t="str">
        <f>VLOOKUP(C679,customers[],2,0)</f>
        <v>Female</v>
      </c>
      <c r="F679" t="str">
        <f>VLOOKUP(C679,customers[],4,0)</f>
        <v>Cincinnati</v>
      </c>
      <c r="G679">
        <v>128</v>
      </c>
      <c r="H679" s="17" t="s">
        <v>10</v>
      </c>
      <c r="I679" s="18">
        <v>45157</v>
      </c>
      <c r="J679">
        <v>135</v>
      </c>
      <c r="K679">
        <v>2.1</v>
      </c>
      <c r="L679">
        <f>IF(MONTH(calls[[#This Row],[Date of Call]])&lt;=6, YEAR(calls[[#This Row],[Date of Call]]), YEAR(calls[[#This Row],[Date of Call]])+1)</f>
        <v>2024</v>
      </c>
      <c r="M679" t="str">
        <f>TEXT(calls[[#This Row],[Date of Call]],"DDDD")</f>
        <v>السبت</v>
      </c>
      <c r="N679" t="str" cm="1">
        <f t="array" ref="N679">_xlfn.IFS(calls[[#This Row],[Duration]]&lt;=10,"Under 10 mins", calls[[#This Row],[Duration]]&lt;=30, "10 to 30 mins", calls[[#This Row],[Duration]]&lt;=60, "30 to 60 mins", calls[[#This Row],[Duration]]&lt;=120, "1 to 2 hours", TRUE, "More than 2 hours")</f>
        <v>More than 2 hours</v>
      </c>
      <c r="O679">
        <f>ROUND(calls[[#This Row],[Satisfaction Rating]],0)</f>
        <v>2</v>
      </c>
    </row>
    <row r="680" spans="2:15" x14ac:dyDescent="0.25">
      <c r="B680" t="s">
        <v>701</v>
      </c>
      <c r="C680" t="s">
        <v>15</v>
      </c>
      <c r="D680">
        <f>VLOOKUP(C680,customers[],3,0)</f>
        <v>28</v>
      </c>
      <c r="E680" t="str">
        <f>VLOOKUP(C680,customers[],2,0)</f>
        <v>Female</v>
      </c>
      <c r="F680" t="str">
        <f>VLOOKUP(C680,customers[],4,0)</f>
        <v>Cincinnati</v>
      </c>
      <c r="G680">
        <v>30</v>
      </c>
      <c r="H680" s="17" t="s">
        <v>9</v>
      </c>
      <c r="I680" s="18">
        <v>45157</v>
      </c>
      <c r="J680">
        <v>210</v>
      </c>
      <c r="K680">
        <v>4.2</v>
      </c>
      <c r="L680">
        <f>IF(MONTH(calls[[#This Row],[Date of Call]])&lt;=6, YEAR(calls[[#This Row],[Date of Call]]), YEAR(calls[[#This Row],[Date of Call]])+1)</f>
        <v>2024</v>
      </c>
      <c r="M680" t="str">
        <f>TEXT(calls[[#This Row],[Date of Call]],"DDDD")</f>
        <v>السبت</v>
      </c>
      <c r="N680" t="str" cm="1">
        <f t="array" ref="N680">_xlfn.IFS(calls[[#This Row],[Duration]]&lt;=10,"Under 10 mins", calls[[#This Row],[Duration]]&lt;=30, "10 to 30 mins", calls[[#This Row],[Duration]]&lt;=60, "30 to 60 mins", calls[[#This Row],[Duration]]&lt;=120, "1 to 2 hours", TRUE, "More than 2 hours")</f>
        <v>10 to 30 mins</v>
      </c>
      <c r="O680">
        <f>ROUND(calls[[#This Row],[Satisfaction Rating]],0)</f>
        <v>4</v>
      </c>
    </row>
    <row r="681" spans="2:15" x14ac:dyDescent="0.25">
      <c r="B681" t="s">
        <v>702</v>
      </c>
      <c r="C681" t="s">
        <v>4</v>
      </c>
      <c r="D681">
        <f>VLOOKUP(C681,customers[],3,0)</f>
        <v>42</v>
      </c>
      <c r="E681" t="str">
        <f>VLOOKUP(C681,customers[],2,0)</f>
        <v>Female</v>
      </c>
      <c r="F681" t="str">
        <f>VLOOKUP(C681,customers[],4,0)</f>
        <v>Cleveland</v>
      </c>
      <c r="G681">
        <v>63</v>
      </c>
      <c r="H681" s="17" t="s">
        <v>10</v>
      </c>
      <c r="I681" s="18">
        <v>45158</v>
      </c>
      <c r="J681">
        <v>29</v>
      </c>
      <c r="K681">
        <v>4.7</v>
      </c>
      <c r="L681">
        <f>IF(MONTH(calls[[#This Row],[Date of Call]])&lt;=6, YEAR(calls[[#This Row],[Date of Call]]), YEAR(calls[[#This Row],[Date of Call]])+1)</f>
        <v>2024</v>
      </c>
      <c r="M681" t="str">
        <f>TEXT(calls[[#This Row],[Date of Call]],"DDDD")</f>
        <v>الأحد</v>
      </c>
      <c r="N681" t="str" cm="1">
        <f t="array" ref="N681">_xlfn.IFS(calls[[#This Row],[Duration]]&lt;=10,"Under 10 mins", calls[[#This Row],[Duration]]&lt;=30, "10 to 30 mins", calls[[#This Row],[Duration]]&lt;=60, "30 to 60 mins", calls[[#This Row],[Duration]]&lt;=120, "1 to 2 hours", TRUE, "More than 2 hours")</f>
        <v>1 to 2 hours</v>
      </c>
      <c r="O681">
        <f>ROUND(calls[[#This Row],[Satisfaction Rating]],0)</f>
        <v>5</v>
      </c>
    </row>
    <row r="682" spans="2:15" x14ac:dyDescent="0.25">
      <c r="B682" t="s">
        <v>703</v>
      </c>
      <c r="C682" t="s">
        <v>23</v>
      </c>
      <c r="D682">
        <f>VLOOKUP(C682,customers[],3,0)</f>
        <v>31</v>
      </c>
      <c r="E682" t="str">
        <f>VLOOKUP(C682,customers[],2,0)</f>
        <v>Male</v>
      </c>
      <c r="F682" t="str">
        <f>VLOOKUP(C682,customers[],4,0)</f>
        <v>Cleveland</v>
      </c>
      <c r="G682">
        <v>64</v>
      </c>
      <c r="H682" s="17" t="s">
        <v>5</v>
      </c>
      <c r="I682" s="18">
        <v>45158</v>
      </c>
      <c r="J682">
        <v>111</v>
      </c>
      <c r="K682">
        <v>3.9</v>
      </c>
      <c r="L682">
        <f>IF(MONTH(calls[[#This Row],[Date of Call]])&lt;=6, YEAR(calls[[#This Row],[Date of Call]]), YEAR(calls[[#This Row],[Date of Call]])+1)</f>
        <v>2024</v>
      </c>
      <c r="M682" t="str">
        <f>TEXT(calls[[#This Row],[Date of Call]],"DDDD")</f>
        <v>الأحد</v>
      </c>
      <c r="N682" t="str" cm="1">
        <f t="array" ref="N682">_xlfn.IFS(calls[[#This Row],[Duration]]&lt;=10,"Under 10 mins", calls[[#This Row],[Duration]]&lt;=30, "10 to 30 mins", calls[[#This Row],[Duration]]&lt;=60, "30 to 60 mins", calls[[#This Row],[Duration]]&lt;=120, "1 to 2 hours", TRUE, "More than 2 hours")</f>
        <v>1 to 2 hours</v>
      </c>
      <c r="O682">
        <f>ROUND(calls[[#This Row],[Satisfaction Rating]],0)</f>
        <v>4</v>
      </c>
    </row>
    <row r="683" spans="2:15" x14ac:dyDescent="0.25">
      <c r="B683" t="s">
        <v>704</v>
      </c>
      <c r="C683" t="s">
        <v>20</v>
      </c>
      <c r="D683">
        <f>VLOOKUP(C683,customers[],3,0)</f>
        <v>38</v>
      </c>
      <c r="E683" t="str">
        <f>VLOOKUP(C683,customers[],2,0)</f>
        <v>Female</v>
      </c>
      <c r="F683" t="str">
        <f>VLOOKUP(C683,customers[],4,0)</f>
        <v>Columbus</v>
      </c>
      <c r="G683">
        <v>151</v>
      </c>
      <c r="H683" s="17" t="s">
        <v>8</v>
      </c>
      <c r="I683" s="18">
        <v>45159</v>
      </c>
      <c r="J683">
        <v>63</v>
      </c>
      <c r="K683">
        <v>4.0999999999999996</v>
      </c>
      <c r="L683">
        <f>IF(MONTH(calls[[#This Row],[Date of Call]])&lt;=6, YEAR(calls[[#This Row],[Date of Call]]), YEAR(calls[[#This Row],[Date of Call]])+1)</f>
        <v>2024</v>
      </c>
      <c r="M683" t="str">
        <f>TEXT(calls[[#This Row],[Date of Call]],"DDDD")</f>
        <v>الإثنين</v>
      </c>
      <c r="N683" t="str" cm="1">
        <f t="array" ref="N683">_xlfn.IFS(calls[[#This Row],[Duration]]&lt;=10,"Under 10 mins", calls[[#This Row],[Duration]]&lt;=30, "10 to 30 mins", calls[[#This Row],[Duration]]&lt;=60, "30 to 60 mins", calls[[#This Row],[Duration]]&lt;=120, "1 to 2 hours", TRUE, "More than 2 hours")</f>
        <v>More than 2 hours</v>
      </c>
      <c r="O683">
        <f>ROUND(calls[[#This Row],[Satisfaction Rating]],0)</f>
        <v>4</v>
      </c>
    </row>
    <row r="684" spans="2:15" x14ac:dyDescent="0.25">
      <c r="B684" t="s">
        <v>705</v>
      </c>
      <c r="C684" t="s">
        <v>16</v>
      </c>
      <c r="D684">
        <f>VLOOKUP(C684,customers[],3,0)</f>
        <v>41</v>
      </c>
      <c r="E684" t="str">
        <f>VLOOKUP(C684,customers[],2,0)</f>
        <v>Male</v>
      </c>
      <c r="F684" t="str">
        <f>VLOOKUP(C684,customers[],4,0)</f>
        <v>Columbus</v>
      </c>
      <c r="G684">
        <v>116</v>
      </c>
      <c r="H684" s="17" t="s">
        <v>12</v>
      </c>
      <c r="I684" s="18">
        <v>45159</v>
      </c>
      <c r="J684">
        <v>44</v>
      </c>
      <c r="K684">
        <v>3.8</v>
      </c>
      <c r="L684">
        <f>IF(MONTH(calls[[#This Row],[Date of Call]])&lt;=6, YEAR(calls[[#This Row],[Date of Call]]), YEAR(calls[[#This Row],[Date of Call]])+1)</f>
        <v>2024</v>
      </c>
      <c r="M684" t="str">
        <f>TEXT(calls[[#This Row],[Date of Call]],"DDDD")</f>
        <v>الإثنين</v>
      </c>
      <c r="N684" t="str" cm="1">
        <f t="array" ref="N684">_xlfn.IFS(calls[[#This Row],[Duration]]&lt;=10,"Under 10 mins", calls[[#This Row],[Duration]]&lt;=30, "10 to 30 mins", calls[[#This Row],[Duration]]&lt;=60, "30 to 60 mins", calls[[#This Row],[Duration]]&lt;=120, "1 to 2 hours", TRUE, "More than 2 hours")</f>
        <v>1 to 2 hours</v>
      </c>
      <c r="O684">
        <f>ROUND(calls[[#This Row],[Satisfaction Rating]],0)</f>
        <v>4</v>
      </c>
    </row>
    <row r="685" spans="2:15" x14ac:dyDescent="0.25">
      <c r="B685" t="s">
        <v>706</v>
      </c>
      <c r="C685" t="s">
        <v>20</v>
      </c>
      <c r="D685">
        <f>VLOOKUP(C685,customers[],3,0)</f>
        <v>38</v>
      </c>
      <c r="E685" t="str">
        <f>VLOOKUP(C685,customers[],2,0)</f>
        <v>Female</v>
      </c>
      <c r="F685" t="str">
        <f>VLOOKUP(C685,customers[],4,0)</f>
        <v>Columbus</v>
      </c>
      <c r="G685">
        <v>111</v>
      </c>
      <c r="H685" s="17" t="s">
        <v>12</v>
      </c>
      <c r="I685" s="18">
        <v>45161</v>
      </c>
      <c r="J685">
        <v>120</v>
      </c>
      <c r="K685">
        <v>1.8</v>
      </c>
      <c r="L685">
        <f>IF(MONTH(calls[[#This Row],[Date of Call]])&lt;=6, YEAR(calls[[#This Row],[Date of Call]]), YEAR(calls[[#This Row],[Date of Call]])+1)</f>
        <v>2024</v>
      </c>
      <c r="M685" t="str">
        <f>TEXT(calls[[#This Row],[Date of Call]],"DDDD")</f>
        <v>الأربعاء</v>
      </c>
      <c r="N685" t="str" cm="1">
        <f t="array" ref="N685">_xlfn.IFS(calls[[#This Row],[Duration]]&lt;=10,"Under 10 mins", calls[[#This Row],[Duration]]&lt;=30, "10 to 30 mins", calls[[#This Row],[Duration]]&lt;=60, "30 to 60 mins", calls[[#This Row],[Duration]]&lt;=120, "1 to 2 hours", TRUE, "More than 2 hours")</f>
        <v>1 to 2 hours</v>
      </c>
      <c r="O685">
        <f>ROUND(calls[[#This Row],[Satisfaction Rating]],0)</f>
        <v>2</v>
      </c>
    </row>
    <row r="686" spans="2:15" x14ac:dyDescent="0.25">
      <c r="B686" t="s">
        <v>707</v>
      </c>
      <c r="C686" t="s">
        <v>7</v>
      </c>
      <c r="D686">
        <f>VLOOKUP(C686,customers[],3,0)</f>
        <v>30</v>
      </c>
      <c r="E686" t="str">
        <f>VLOOKUP(C686,customers[],2,0)</f>
        <v>Female</v>
      </c>
      <c r="F686" t="str">
        <f>VLOOKUP(C686,customers[],4,0)</f>
        <v>Cincinnati</v>
      </c>
      <c r="G686">
        <v>15</v>
      </c>
      <c r="H686" s="17" t="s">
        <v>12</v>
      </c>
      <c r="I686" s="18">
        <v>45161</v>
      </c>
      <c r="J686">
        <v>120</v>
      </c>
      <c r="K686">
        <v>4.0999999999999996</v>
      </c>
      <c r="L686">
        <f>IF(MONTH(calls[[#This Row],[Date of Call]])&lt;=6, YEAR(calls[[#This Row],[Date of Call]]), YEAR(calls[[#This Row],[Date of Call]])+1)</f>
        <v>2024</v>
      </c>
      <c r="M686" t="str">
        <f>TEXT(calls[[#This Row],[Date of Call]],"DDDD")</f>
        <v>الأربعاء</v>
      </c>
      <c r="N686" t="str" cm="1">
        <f t="array" ref="N686">_xlfn.IFS(calls[[#This Row],[Duration]]&lt;=10,"Under 10 mins", calls[[#This Row],[Duration]]&lt;=30, "10 to 30 mins", calls[[#This Row],[Duration]]&lt;=60, "30 to 60 mins", calls[[#This Row],[Duration]]&lt;=120, "1 to 2 hours", TRUE, "More than 2 hours")</f>
        <v>10 to 30 mins</v>
      </c>
      <c r="O686">
        <f>ROUND(calls[[#This Row],[Satisfaction Rating]],0)</f>
        <v>4</v>
      </c>
    </row>
    <row r="687" spans="2:15" x14ac:dyDescent="0.25">
      <c r="B687" t="s">
        <v>708</v>
      </c>
      <c r="C687" t="s">
        <v>23</v>
      </c>
      <c r="D687">
        <f>VLOOKUP(C687,customers[],3,0)</f>
        <v>31</v>
      </c>
      <c r="E687" t="str">
        <f>VLOOKUP(C687,customers[],2,0)</f>
        <v>Male</v>
      </c>
      <c r="F687" t="str">
        <f>VLOOKUP(C687,customers[],4,0)</f>
        <v>Cleveland</v>
      </c>
      <c r="G687">
        <v>18</v>
      </c>
      <c r="H687" s="17" t="s">
        <v>8</v>
      </c>
      <c r="I687" s="18">
        <v>45162</v>
      </c>
      <c r="J687">
        <v>40</v>
      </c>
      <c r="K687">
        <v>4.4000000000000004</v>
      </c>
      <c r="L687">
        <f>IF(MONTH(calls[[#This Row],[Date of Call]])&lt;=6, YEAR(calls[[#This Row],[Date of Call]]), YEAR(calls[[#This Row],[Date of Call]])+1)</f>
        <v>2024</v>
      </c>
      <c r="M687" t="str">
        <f>TEXT(calls[[#This Row],[Date of Call]],"DDDD")</f>
        <v>الخميس</v>
      </c>
      <c r="N687" t="str" cm="1">
        <f t="array" ref="N687">_xlfn.IFS(calls[[#This Row],[Duration]]&lt;=10,"Under 10 mins", calls[[#This Row],[Duration]]&lt;=30, "10 to 30 mins", calls[[#This Row],[Duration]]&lt;=60, "30 to 60 mins", calls[[#This Row],[Duration]]&lt;=120, "1 to 2 hours", TRUE, "More than 2 hours")</f>
        <v>10 to 30 mins</v>
      </c>
      <c r="O687">
        <f>ROUND(calls[[#This Row],[Satisfaction Rating]],0)</f>
        <v>4</v>
      </c>
    </row>
    <row r="688" spans="2:15" x14ac:dyDescent="0.25">
      <c r="B688" t="s">
        <v>709</v>
      </c>
      <c r="C688" t="s">
        <v>14</v>
      </c>
      <c r="D688">
        <f>VLOOKUP(C688,customers[],3,0)</f>
        <v>22</v>
      </c>
      <c r="E688" t="str">
        <f>VLOOKUP(C688,customers[],2,0)</f>
        <v>Female</v>
      </c>
      <c r="F688" t="str">
        <f>VLOOKUP(C688,customers[],4,0)</f>
        <v>Cleveland</v>
      </c>
      <c r="G688">
        <v>146</v>
      </c>
      <c r="H688" s="17" t="s">
        <v>10</v>
      </c>
      <c r="I688" s="18">
        <v>45162</v>
      </c>
      <c r="J688">
        <v>160</v>
      </c>
      <c r="K688">
        <v>4.0999999999999996</v>
      </c>
      <c r="L688">
        <f>IF(MONTH(calls[[#This Row],[Date of Call]])&lt;=6, YEAR(calls[[#This Row],[Date of Call]]), YEAR(calls[[#This Row],[Date of Call]])+1)</f>
        <v>2024</v>
      </c>
      <c r="M688" t="str">
        <f>TEXT(calls[[#This Row],[Date of Call]],"DDDD")</f>
        <v>الخميس</v>
      </c>
      <c r="N688" t="str" cm="1">
        <f t="array" ref="N688">_xlfn.IFS(calls[[#This Row],[Duration]]&lt;=10,"Under 10 mins", calls[[#This Row],[Duration]]&lt;=30, "10 to 30 mins", calls[[#This Row],[Duration]]&lt;=60, "30 to 60 mins", calls[[#This Row],[Duration]]&lt;=120, "1 to 2 hours", TRUE, "More than 2 hours")</f>
        <v>More than 2 hours</v>
      </c>
      <c r="O688">
        <f>ROUND(calls[[#This Row],[Satisfaction Rating]],0)</f>
        <v>4</v>
      </c>
    </row>
    <row r="689" spans="2:15" x14ac:dyDescent="0.25">
      <c r="B689" t="s">
        <v>710</v>
      </c>
      <c r="C689" t="s">
        <v>15</v>
      </c>
      <c r="D689">
        <f>VLOOKUP(C689,customers[],3,0)</f>
        <v>28</v>
      </c>
      <c r="E689" t="str">
        <f>VLOOKUP(C689,customers[],2,0)</f>
        <v>Female</v>
      </c>
      <c r="F689" t="str">
        <f>VLOOKUP(C689,customers[],4,0)</f>
        <v>Cincinnati</v>
      </c>
      <c r="G689">
        <v>73</v>
      </c>
      <c r="H689" s="17" t="s">
        <v>12</v>
      </c>
      <c r="I689" s="18">
        <v>45163</v>
      </c>
      <c r="J689">
        <v>44</v>
      </c>
      <c r="K689">
        <v>3.8</v>
      </c>
      <c r="L689">
        <f>IF(MONTH(calls[[#This Row],[Date of Call]])&lt;=6, YEAR(calls[[#This Row],[Date of Call]]), YEAR(calls[[#This Row],[Date of Call]])+1)</f>
        <v>2024</v>
      </c>
      <c r="M689" t="str">
        <f>TEXT(calls[[#This Row],[Date of Call]],"DDDD")</f>
        <v>الجمعة</v>
      </c>
      <c r="N689" t="str" cm="1">
        <f t="array" ref="N689">_xlfn.IFS(calls[[#This Row],[Duration]]&lt;=10,"Under 10 mins", calls[[#This Row],[Duration]]&lt;=30, "10 to 30 mins", calls[[#This Row],[Duration]]&lt;=60, "30 to 60 mins", calls[[#This Row],[Duration]]&lt;=120, "1 to 2 hours", TRUE, "More than 2 hours")</f>
        <v>1 to 2 hours</v>
      </c>
      <c r="O689">
        <f>ROUND(calls[[#This Row],[Satisfaction Rating]],0)</f>
        <v>4</v>
      </c>
    </row>
    <row r="690" spans="2:15" x14ac:dyDescent="0.25">
      <c r="B690" t="s">
        <v>711</v>
      </c>
      <c r="C690" t="s">
        <v>20</v>
      </c>
      <c r="D690">
        <f>VLOOKUP(C690,customers[],3,0)</f>
        <v>38</v>
      </c>
      <c r="E690" t="str">
        <f>VLOOKUP(C690,customers[],2,0)</f>
        <v>Female</v>
      </c>
      <c r="F690" t="str">
        <f>VLOOKUP(C690,customers[],4,0)</f>
        <v>Columbus</v>
      </c>
      <c r="G690">
        <v>108</v>
      </c>
      <c r="H690" s="17" t="s">
        <v>8</v>
      </c>
      <c r="I690" s="18">
        <v>45163</v>
      </c>
      <c r="J690">
        <v>80</v>
      </c>
      <c r="K690">
        <v>4.3</v>
      </c>
      <c r="L690">
        <f>IF(MONTH(calls[[#This Row],[Date of Call]])&lt;=6, YEAR(calls[[#This Row],[Date of Call]]), YEAR(calls[[#This Row],[Date of Call]])+1)</f>
        <v>2024</v>
      </c>
      <c r="M690" t="str">
        <f>TEXT(calls[[#This Row],[Date of Call]],"DDDD")</f>
        <v>الجمعة</v>
      </c>
      <c r="N690" t="str" cm="1">
        <f t="array" ref="N690">_xlfn.IFS(calls[[#This Row],[Duration]]&lt;=10,"Under 10 mins", calls[[#This Row],[Duration]]&lt;=30, "10 to 30 mins", calls[[#This Row],[Duration]]&lt;=60, "30 to 60 mins", calls[[#This Row],[Duration]]&lt;=120, "1 to 2 hours", TRUE, "More than 2 hours")</f>
        <v>1 to 2 hours</v>
      </c>
      <c r="O690">
        <f>ROUND(calls[[#This Row],[Satisfaction Rating]],0)</f>
        <v>4</v>
      </c>
    </row>
    <row r="691" spans="2:15" x14ac:dyDescent="0.25">
      <c r="B691" t="s">
        <v>712</v>
      </c>
      <c r="C691" t="s">
        <v>6</v>
      </c>
      <c r="D691">
        <f>VLOOKUP(C691,customers[],3,0)</f>
        <v>23</v>
      </c>
      <c r="E691" t="str">
        <f>VLOOKUP(C691,customers[],2,0)</f>
        <v>Male</v>
      </c>
      <c r="F691" t="str">
        <f>VLOOKUP(C691,customers[],4,0)</f>
        <v>Columbus</v>
      </c>
      <c r="G691">
        <v>52</v>
      </c>
      <c r="H691" s="17" t="s">
        <v>8</v>
      </c>
      <c r="I691" s="18">
        <v>45164</v>
      </c>
      <c r="J691">
        <v>66</v>
      </c>
      <c r="K691">
        <v>4.5</v>
      </c>
      <c r="L691">
        <f>IF(MONTH(calls[[#This Row],[Date of Call]])&lt;=6, YEAR(calls[[#This Row],[Date of Call]]), YEAR(calls[[#This Row],[Date of Call]])+1)</f>
        <v>2024</v>
      </c>
      <c r="M691" t="str">
        <f>TEXT(calls[[#This Row],[Date of Call]],"DDDD")</f>
        <v>السبت</v>
      </c>
      <c r="N691" t="str" cm="1">
        <f t="array" ref="N691">_xlfn.IFS(calls[[#This Row],[Duration]]&lt;=10,"Under 10 mins", calls[[#This Row],[Duration]]&lt;=30, "10 to 30 mins", calls[[#This Row],[Duration]]&lt;=60, "30 to 60 mins", calls[[#This Row],[Duration]]&lt;=120, "1 to 2 hours", TRUE, "More than 2 hours")</f>
        <v>30 to 60 mins</v>
      </c>
      <c r="O691">
        <f>ROUND(calls[[#This Row],[Satisfaction Rating]],0)</f>
        <v>5</v>
      </c>
    </row>
    <row r="692" spans="2:15" x14ac:dyDescent="0.25">
      <c r="B692" t="s">
        <v>713</v>
      </c>
      <c r="C692" t="s">
        <v>16</v>
      </c>
      <c r="D692">
        <f>VLOOKUP(C692,customers[],3,0)</f>
        <v>41</v>
      </c>
      <c r="E692" t="str">
        <f>VLOOKUP(C692,customers[],2,0)</f>
        <v>Male</v>
      </c>
      <c r="F692" t="str">
        <f>VLOOKUP(C692,customers[],4,0)</f>
        <v>Columbus</v>
      </c>
      <c r="G692">
        <v>165</v>
      </c>
      <c r="H692" s="17" t="s">
        <v>5</v>
      </c>
      <c r="I692" s="18">
        <v>45164</v>
      </c>
      <c r="J692">
        <v>82</v>
      </c>
      <c r="K692">
        <v>3.4</v>
      </c>
      <c r="L692">
        <f>IF(MONTH(calls[[#This Row],[Date of Call]])&lt;=6, YEAR(calls[[#This Row],[Date of Call]]), YEAR(calls[[#This Row],[Date of Call]])+1)</f>
        <v>2024</v>
      </c>
      <c r="M692" t="str">
        <f>TEXT(calls[[#This Row],[Date of Call]],"DDDD")</f>
        <v>السبت</v>
      </c>
      <c r="N692" t="str" cm="1">
        <f t="array" ref="N692">_xlfn.IFS(calls[[#This Row],[Duration]]&lt;=10,"Under 10 mins", calls[[#This Row],[Duration]]&lt;=30, "10 to 30 mins", calls[[#This Row],[Duration]]&lt;=60, "30 to 60 mins", calls[[#This Row],[Duration]]&lt;=120, "1 to 2 hours", TRUE, "More than 2 hours")</f>
        <v>More than 2 hours</v>
      </c>
      <c r="O692">
        <f>ROUND(calls[[#This Row],[Satisfaction Rating]],0)</f>
        <v>3</v>
      </c>
    </row>
    <row r="693" spans="2:15" x14ac:dyDescent="0.25">
      <c r="B693" t="s">
        <v>714</v>
      </c>
      <c r="C693" t="s">
        <v>14</v>
      </c>
      <c r="D693">
        <f>VLOOKUP(C693,customers[],3,0)</f>
        <v>22</v>
      </c>
      <c r="E693" t="str">
        <f>VLOOKUP(C693,customers[],2,0)</f>
        <v>Female</v>
      </c>
      <c r="F693" t="str">
        <f>VLOOKUP(C693,customers[],4,0)</f>
        <v>Cleveland</v>
      </c>
      <c r="G693">
        <v>104</v>
      </c>
      <c r="H693" s="17" t="s">
        <v>12</v>
      </c>
      <c r="I693" s="18">
        <v>45164</v>
      </c>
      <c r="J693">
        <v>66</v>
      </c>
      <c r="K693">
        <v>4.8</v>
      </c>
      <c r="L693">
        <f>IF(MONTH(calls[[#This Row],[Date of Call]])&lt;=6, YEAR(calls[[#This Row],[Date of Call]]), YEAR(calls[[#This Row],[Date of Call]])+1)</f>
        <v>2024</v>
      </c>
      <c r="M693" t="str">
        <f>TEXT(calls[[#This Row],[Date of Call]],"DDDD")</f>
        <v>السبت</v>
      </c>
      <c r="N693" t="str" cm="1">
        <f t="array" ref="N693">_xlfn.IFS(calls[[#This Row],[Duration]]&lt;=10,"Under 10 mins", calls[[#This Row],[Duration]]&lt;=30, "10 to 30 mins", calls[[#This Row],[Duration]]&lt;=60, "30 to 60 mins", calls[[#This Row],[Duration]]&lt;=120, "1 to 2 hours", TRUE, "More than 2 hours")</f>
        <v>1 to 2 hours</v>
      </c>
      <c r="O693">
        <f>ROUND(calls[[#This Row],[Satisfaction Rating]],0)</f>
        <v>5</v>
      </c>
    </row>
    <row r="694" spans="2:15" x14ac:dyDescent="0.25">
      <c r="B694" t="s">
        <v>715</v>
      </c>
      <c r="C694" t="s">
        <v>15</v>
      </c>
      <c r="D694">
        <f>VLOOKUP(C694,customers[],3,0)</f>
        <v>28</v>
      </c>
      <c r="E694" t="str">
        <f>VLOOKUP(C694,customers[],2,0)</f>
        <v>Female</v>
      </c>
      <c r="F694" t="str">
        <f>VLOOKUP(C694,customers[],4,0)</f>
        <v>Cincinnati</v>
      </c>
      <c r="G694">
        <v>131</v>
      </c>
      <c r="H694" s="17" t="s">
        <v>10</v>
      </c>
      <c r="I694" s="18">
        <v>45164</v>
      </c>
      <c r="J694">
        <v>92</v>
      </c>
      <c r="K694">
        <v>4.9000000000000004</v>
      </c>
      <c r="L694">
        <f>IF(MONTH(calls[[#This Row],[Date of Call]])&lt;=6, YEAR(calls[[#This Row],[Date of Call]]), YEAR(calls[[#This Row],[Date of Call]])+1)</f>
        <v>2024</v>
      </c>
      <c r="M694" t="str">
        <f>TEXT(calls[[#This Row],[Date of Call]],"DDDD")</f>
        <v>السبت</v>
      </c>
      <c r="N694" t="str" cm="1">
        <f t="array" ref="N694">_xlfn.IFS(calls[[#This Row],[Duration]]&lt;=10,"Under 10 mins", calls[[#This Row],[Duration]]&lt;=30, "10 to 30 mins", calls[[#This Row],[Duration]]&lt;=60, "30 to 60 mins", calls[[#This Row],[Duration]]&lt;=120, "1 to 2 hours", TRUE, "More than 2 hours")</f>
        <v>More than 2 hours</v>
      </c>
      <c r="O694">
        <f>ROUND(calls[[#This Row],[Satisfaction Rating]],0)</f>
        <v>5</v>
      </c>
    </row>
    <row r="695" spans="2:15" x14ac:dyDescent="0.25">
      <c r="B695" t="s">
        <v>716</v>
      </c>
      <c r="C695" t="s">
        <v>18</v>
      </c>
      <c r="D695">
        <f>VLOOKUP(C695,customers[],3,0)</f>
        <v>43</v>
      </c>
      <c r="E695" t="str">
        <f>VLOOKUP(C695,customers[],2,0)</f>
        <v>Female</v>
      </c>
      <c r="F695" t="str">
        <f>VLOOKUP(C695,customers[],4,0)</f>
        <v>Cleveland</v>
      </c>
      <c r="G695">
        <v>80</v>
      </c>
      <c r="H695" s="17" t="s">
        <v>5</v>
      </c>
      <c r="I695" s="18">
        <v>45165</v>
      </c>
      <c r="J695">
        <v>104</v>
      </c>
      <c r="K695">
        <v>4.7</v>
      </c>
      <c r="L695">
        <f>IF(MONTH(calls[[#This Row],[Date of Call]])&lt;=6, YEAR(calls[[#This Row],[Date of Call]]), YEAR(calls[[#This Row],[Date of Call]])+1)</f>
        <v>2024</v>
      </c>
      <c r="M695" t="str">
        <f>TEXT(calls[[#This Row],[Date of Call]],"DDDD")</f>
        <v>الأحد</v>
      </c>
      <c r="N695" t="str" cm="1">
        <f t="array" ref="N695">_xlfn.IFS(calls[[#This Row],[Duration]]&lt;=10,"Under 10 mins", calls[[#This Row],[Duration]]&lt;=30, "10 to 30 mins", calls[[#This Row],[Duration]]&lt;=60, "30 to 60 mins", calls[[#This Row],[Duration]]&lt;=120, "1 to 2 hours", TRUE, "More than 2 hours")</f>
        <v>1 to 2 hours</v>
      </c>
      <c r="O695">
        <f>ROUND(calls[[#This Row],[Satisfaction Rating]],0)</f>
        <v>5</v>
      </c>
    </row>
    <row r="696" spans="2:15" x14ac:dyDescent="0.25">
      <c r="B696" t="s">
        <v>717</v>
      </c>
      <c r="C696" t="s">
        <v>7</v>
      </c>
      <c r="D696">
        <f>VLOOKUP(C696,customers[],3,0)</f>
        <v>30</v>
      </c>
      <c r="E696" t="str">
        <f>VLOOKUP(C696,customers[],2,0)</f>
        <v>Female</v>
      </c>
      <c r="F696" t="str">
        <f>VLOOKUP(C696,customers[],4,0)</f>
        <v>Cincinnati</v>
      </c>
      <c r="G696">
        <v>49</v>
      </c>
      <c r="H696" s="17" t="s">
        <v>12</v>
      </c>
      <c r="I696" s="18">
        <v>45165</v>
      </c>
      <c r="J696">
        <v>105</v>
      </c>
      <c r="K696">
        <v>3.3</v>
      </c>
      <c r="L696">
        <f>IF(MONTH(calls[[#This Row],[Date of Call]])&lt;=6, YEAR(calls[[#This Row],[Date of Call]]), YEAR(calls[[#This Row],[Date of Call]])+1)</f>
        <v>2024</v>
      </c>
      <c r="M696" t="str">
        <f>TEXT(calls[[#This Row],[Date of Call]],"DDDD")</f>
        <v>الأحد</v>
      </c>
      <c r="N696" t="str" cm="1">
        <f t="array" ref="N696">_xlfn.IFS(calls[[#This Row],[Duration]]&lt;=10,"Under 10 mins", calls[[#This Row],[Duration]]&lt;=30, "10 to 30 mins", calls[[#This Row],[Duration]]&lt;=60, "30 to 60 mins", calls[[#This Row],[Duration]]&lt;=120, "1 to 2 hours", TRUE, "More than 2 hours")</f>
        <v>30 to 60 mins</v>
      </c>
      <c r="O696">
        <f>ROUND(calls[[#This Row],[Satisfaction Rating]],0)</f>
        <v>3</v>
      </c>
    </row>
    <row r="697" spans="2:15" x14ac:dyDescent="0.25">
      <c r="B697" t="s">
        <v>718</v>
      </c>
      <c r="C697" t="s">
        <v>16</v>
      </c>
      <c r="D697">
        <f>VLOOKUP(C697,customers[],3,0)</f>
        <v>41</v>
      </c>
      <c r="E697" t="str">
        <f>VLOOKUP(C697,customers[],2,0)</f>
        <v>Male</v>
      </c>
      <c r="F697" t="str">
        <f>VLOOKUP(C697,customers[],4,0)</f>
        <v>Columbus</v>
      </c>
      <c r="G697">
        <v>73</v>
      </c>
      <c r="H697" s="17" t="s">
        <v>12</v>
      </c>
      <c r="I697" s="18">
        <v>45165</v>
      </c>
      <c r="J697">
        <v>100</v>
      </c>
      <c r="K697">
        <v>2.8</v>
      </c>
      <c r="L697">
        <f>IF(MONTH(calls[[#This Row],[Date of Call]])&lt;=6, YEAR(calls[[#This Row],[Date of Call]]), YEAR(calls[[#This Row],[Date of Call]])+1)</f>
        <v>2024</v>
      </c>
      <c r="M697" t="str">
        <f>TEXT(calls[[#This Row],[Date of Call]],"DDDD")</f>
        <v>الأحد</v>
      </c>
      <c r="N697" t="str" cm="1">
        <f t="array" ref="N697">_xlfn.IFS(calls[[#This Row],[Duration]]&lt;=10,"Under 10 mins", calls[[#This Row],[Duration]]&lt;=30, "10 to 30 mins", calls[[#This Row],[Duration]]&lt;=60, "30 to 60 mins", calls[[#This Row],[Duration]]&lt;=120, "1 to 2 hours", TRUE, "More than 2 hours")</f>
        <v>1 to 2 hours</v>
      </c>
      <c r="O697">
        <f>ROUND(calls[[#This Row],[Satisfaction Rating]],0)</f>
        <v>3</v>
      </c>
    </row>
    <row r="698" spans="2:15" x14ac:dyDescent="0.25">
      <c r="B698" t="s">
        <v>719</v>
      </c>
      <c r="C698" t="s">
        <v>14</v>
      </c>
      <c r="D698">
        <f>VLOOKUP(C698,customers[],3,0)</f>
        <v>22</v>
      </c>
      <c r="E698" t="str">
        <f>VLOOKUP(C698,customers[],2,0)</f>
        <v>Female</v>
      </c>
      <c r="F698" t="str">
        <f>VLOOKUP(C698,customers[],4,0)</f>
        <v>Cleveland</v>
      </c>
      <c r="G698">
        <v>117</v>
      </c>
      <c r="H698" s="17" t="s">
        <v>5</v>
      </c>
      <c r="I698" s="18">
        <v>45165</v>
      </c>
      <c r="J698">
        <v>90</v>
      </c>
      <c r="K698">
        <v>4.0999999999999996</v>
      </c>
      <c r="L698">
        <f>IF(MONTH(calls[[#This Row],[Date of Call]])&lt;=6, YEAR(calls[[#This Row],[Date of Call]]), YEAR(calls[[#This Row],[Date of Call]])+1)</f>
        <v>2024</v>
      </c>
      <c r="M698" t="str">
        <f>TEXT(calls[[#This Row],[Date of Call]],"DDDD")</f>
        <v>الأحد</v>
      </c>
      <c r="N698" t="str" cm="1">
        <f t="array" ref="N698">_xlfn.IFS(calls[[#This Row],[Duration]]&lt;=10,"Under 10 mins", calls[[#This Row],[Duration]]&lt;=30, "10 to 30 mins", calls[[#This Row],[Duration]]&lt;=60, "30 to 60 mins", calls[[#This Row],[Duration]]&lt;=120, "1 to 2 hours", TRUE, "More than 2 hours")</f>
        <v>1 to 2 hours</v>
      </c>
      <c r="O698">
        <f>ROUND(calls[[#This Row],[Satisfaction Rating]],0)</f>
        <v>4</v>
      </c>
    </row>
    <row r="699" spans="2:15" x14ac:dyDescent="0.25">
      <c r="B699" t="s">
        <v>720</v>
      </c>
      <c r="C699" t="s">
        <v>22</v>
      </c>
      <c r="D699">
        <f>VLOOKUP(C699,customers[],3,0)</f>
        <v>37</v>
      </c>
      <c r="E699" t="str">
        <f>VLOOKUP(C699,customers[],2,0)</f>
        <v>Male</v>
      </c>
      <c r="F699" t="str">
        <f>VLOOKUP(C699,customers[],4,0)</f>
        <v>Columbus</v>
      </c>
      <c r="G699">
        <v>38</v>
      </c>
      <c r="H699" s="17" t="s">
        <v>9</v>
      </c>
      <c r="I699" s="18">
        <v>45165</v>
      </c>
      <c r="J699">
        <v>110</v>
      </c>
      <c r="K699">
        <v>3.5</v>
      </c>
      <c r="L699">
        <f>IF(MONTH(calls[[#This Row],[Date of Call]])&lt;=6, YEAR(calls[[#This Row],[Date of Call]]), YEAR(calls[[#This Row],[Date of Call]])+1)</f>
        <v>2024</v>
      </c>
      <c r="M699" t="str">
        <f>TEXT(calls[[#This Row],[Date of Call]],"DDDD")</f>
        <v>الأحد</v>
      </c>
      <c r="N699" t="str" cm="1">
        <f t="array" ref="N699">_xlfn.IFS(calls[[#This Row],[Duration]]&lt;=10,"Under 10 mins", calls[[#This Row],[Duration]]&lt;=30, "10 to 30 mins", calls[[#This Row],[Duration]]&lt;=60, "30 to 60 mins", calls[[#This Row],[Duration]]&lt;=120, "1 to 2 hours", TRUE, "More than 2 hours")</f>
        <v>30 to 60 mins</v>
      </c>
      <c r="O699">
        <f>ROUND(calls[[#This Row],[Satisfaction Rating]],0)</f>
        <v>4</v>
      </c>
    </row>
    <row r="700" spans="2:15" x14ac:dyDescent="0.25">
      <c r="B700" t="s">
        <v>721</v>
      </c>
      <c r="C700" t="s">
        <v>6</v>
      </c>
      <c r="D700">
        <f>VLOOKUP(C700,customers[],3,0)</f>
        <v>23</v>
      </c>
      <c r="E700" t="str">
        <f>VLOOKUP(C700,customers[],2,0)</f>
        <v>Male</v>
      </c>
      <c r="F700" t="str">
        <f>VLOOKUP(C700,customers[],4,0)</f>
        <v>Columbus</v>
      </c>
      <c r="G700">
        <v>109</v>
      </c>
      <c r="H700" s="17" t="s">
        <v>5</v>
      </c>
      <c r="I700" s="18">
        <v>45167</v>
      </c>
      <c r="J700">
        <v>68</v>
      </c>
      <c r="K700">
        <v>2.2999999999999998</v>
      </c>
      <c r="L700">
        <f>IF(MONTH(calls[[#This Row],[Date of Call]])&lt;=6, YEAR(calls[[#This Row],[Date of Call]]), YEAR(calls[[#This Row],[Date of Call]])+1)</f>
        <v>2024</v>
      </c>
      <c r="M700" t="str">
        <f>TEXT(calls[[#This Row],[Date of Call]],"DDDD")</f>
        <v>الثلاثاء</v>
      </c>
      <c r="N700" t="str" cm="1">
        <f t="array" ref="N700">_xlfn.IFS(calls[[#This Row],[Duration]]&lt;=10,"Under 10 mins", calls[[#This Row],[Duration]]&lt;=30, "10 to 30 mins", calls[[#This Row],[Duration]]&lt;=60, "30 to 60 mins", calls[[#This Row],[Duration]]&lt;=120, "1 to 2 hours", TRUE, "More than 2 hours")</f>
        <v>1 to 2 hours</v>
      </c>
      <c r="O700">
        <f>ROUND(calls[[#This Row],[Satisfaction Rating]],0)</f>
        <v>2</v>
      </c>
    </row>
    <row r="701" spans="2:15" x14ac:dyDescent="0.25">
      <c r="B701" t="s">
        <v>722</v>
      </c>
      <c r="C701" t="s">
        <v>7</v>
      </c>
      <c r="D701">
        <f>VLOOKUP(C701,customers[],3,0)</f>
        <v>30</v>
      </c>
      <c r="E701" t="str">
        <f>VLOOKUP(C701,customers[],2,0)</f>
        <v>Female</v>
      </c>
      <c r="F701" t="str">
        <f>VLOOKUP(C701,customers[],4,0)</f>
        <v>Cincinnati</v>
      </c>
      <c r="G701">
        <v>70</v>
      </c>
      <c r="H701" s="17" t="s">
        <v>8</v>
      </c>
      <c r="I701" s="18">
        <v>45168</v>
      </c>
      <c r="J701">
        <v>210</v>
      </c>
      <c r="K701">
        <v>4.0999999999999996</v>
      </c>
      <c r="L701">
        <f>IF(MONTH(calls[[#This Row],[Date of Call]])&lt;=6, YEAR(calls[[#This Row],[Date of Call]]), YEAR(calls[[#This Row],[Date of Call]])+1)</f>
        <v>2024</v>
      </c>
      <c r="M701" t="str">
        <f>TEXT(calls[[#This Row],[Date of Call]],"DDDD")</f>
        <v>الأربعاء</v>
      </c>
      <c r="N701" t="str" cm="1">
        <f t="array" ref="N701">_xlfn.IFS(calls[[#This Row],[Duration]]&lt;=10,"Under 10 mins", calls[[#This Row],[Duration]]&lt;=30, "10 to 30 mins", calls[[#This Row],[Duration]]&lt;=60, "30 to 60 mins", calls[[#This Row],[Duration]]&lt;=120, "1 to 2 hours", TRUE, "More than 2 hours")</f>
        <v>1 to 2 hours</v>
      </c>
      <c r="O701">
        <f>ROUND(calls[[#This Row],[Satisfaction Rating]],0)</f>
        <v>4</v>
      </c>
    </row>
    <row r="702" spans="2:15" x14ac:dyDescent="0.25">
      <c r="B702" t="s">
        <v>723</v>
      </c>
      <c r="C702" t="s">
        <v>11</v>
      </c>
      <c r="D702">
        <f>VLOOKUP(C702,customers[],3,0)</f>
        <v>36</v>
      </c>
      <c r="E702" t="str">
        <f>VLOOKUP(C702,customers[],2,0)</f>
        <v>Male</v>
      </c>
      <c r="F702" t="str">
        <f>VLOOKUP(C702,customers[],4,0)</f>
        <v>Cincinnati</v>
      </c>
      <c r="G702">
        <v>51</v>
      </c>
      <c r="H702" s="17" t="s">
        <v>9</v>
      </c>
      <c r="I702" s="18">
        <v>45168</v>
      </c>
      <c r="J702">
        <v>111</v>
      </c>
      <c r="K702">
        <v>4.3</v>
      </c>
      <c r="L702">
        <f>IF(MONTH(calls[[#This Row],[Date of Call]])&lt;=6, YEAR(calls[[#This Row],[Date of Call]]), YEAR(calls[[#This Row],[Date of Call]])+1)</f>
        <v>2024</v>
      </c>
      <c r="M702" t="str">
        <f>TEXT(calls[[#This Row],[Date of Call]],"DDDD")</f>
        <v>الأربعاء</v>
      </c>
      <c r="N702" t="str" cm="1">
        <f t="array" ref="N702">_xlfn.IFS(calls[[#This Row],[Duration]]&lt;=10,"Under 10 mins", calls[[#This Row],[Duration]]&lt;=30, "10 to 30 mins", calls[[#This Row],[Duration]]&lt;=60, "30 to 60 mins", calls[[#This Row],[Duration]]&lt;=120, "1 to 2 hours", TRUE, "More than 2 hours")</f>
        <v>30 to 60 mins</v>
      </c>
      <c r="O702">
        <f>ROUND(calls[[#This Row],[Satisfaction Rating]],0)</f>
        <v>4</v>
      </c>
    </row>
    <row r="703" spans="2:15" x14ac:dyDescent="0.25">
      <c r="B703" t="s">
        <v>724</v>
      </c>
      <c r="C703" t="s">
        <v>11</v>
      </c>
      <c r="D703">
        <f>VLOOKUP(C703,customers[],3,0)</f>
        <v>36</v>
      </c>
      <c r="E703" t="str">
        <f>VLOOKUP(C703,customers[],2,0)</f>
        <v>Male</v>
      </c>
      <c r="F703" t="str">
        <f>VLOOKUP(C703,customers[],4,0)</f>
        <v>Cincinnati</v>
      </c>
      <c r="G703">
        <v>100</v>
      </c>
      <c r="H703" s="17" t="s">
        <v>8</v>
      </c>
      <c r="I703" s="18">
        <v>45169</v>
      </c>
      <c r="J703">
        <v>45</v>
      </c>
      <c r="K703">
        <v>4.9000000000000004</v>
      </c>
      <c r="L703">
        <f>IF(MONTH(calls[[#This Row],[Date of Call]])&lt;=6, YEAR(calls[[#This Row],[Date of Call]]), YEAR(calls[[#This Row],[Date of Call]])+1)</f>
        <v>2024</v>
      </c>
      <c r="M703" t="str">
        <f>TEXT(calls[[#This Row],[Date of Call]],"DDDD")</f>
        <v>الخميس</v>
      </c>
      <c r="N703" t="str" cm="1">
        <f t="array" ref="N703">_xlfn.IFS(calls[[#This Row],[Duration]]&lt;=10,"Under 10 mins", calls[[#This Row],[Duration]]&lt;=30, "10 to 30 mins", calls[[#This Row],[Duration]]&lt;=60, "30 to 60 mins", calls[[#This Row],[Duration]]&lt;=120, "1 to 2 hours", TRUE, "More than 2 hours")</f>
        <v>1 to 2 hours</v>
      </c>
      <c r="O703">
        <f>ROUND(calls[[#This Row],[Satisfaction Rating]],0)</f>
        <v>5</v>
      </c>
    </row>
    <row r="704" spans="2:15" x14ac:dyDescent="0.25">
      <c r="B704" t="s">
        <v>725</v>
      </c>
      <c r="C704" t="s">
        <v>13</v>
      </c>
      <c r="D704">
        <f>VLOOKUP(C704,customers[],3,0)</f>
        <v>37</v>
      </c>
      <c r="E704" t="str">
        <f>VLOOKUP(C704,customers[],2,0)</f>
        <v>Female</v>
      </c>
      <c r="F704" t="str">
        <f>VLOOKUP(C704,customers[],4,0)</f>
        <v>Cleveland</v>
      </c>
      <c r="G704">
        <v>124</v>
      </c>
      <c r="H704" s="17" t="s">
        <v>9</v>
      </c>
      <c r="I704" s="18">
        <v>45170</v>
      </c>
      <c r="J704">
        <v>132</v>
      </c>
      <c r="K704">
        <v>4</v>
      </c>
      <c r="L704">
        <f>IF(MONTH(calls[[#This Row],[Date of Call]])&lt;=6, YEAR(calls[[#This Row],[Date of Call]]), YEAR(calls[[#This Row],[Date of Call]])+1)</f>
        <v>2024</v>
      </c>
      <c r="M704" t="str">
        <f>TEXT(calls[[#This Row],[Date of Call]],"DDDD")</f>
        <v>الجمعة</v>
      </c>
      <c r="N704" t="str" cm="1">
        <f t="array" ref="N704">_xlfn.IFS(calls[[#This Row],[Duration]]&lt;=10,"Under 10 mins", calls[[#This Row],[Duration]]&lt;=30, "10 to 30 mins", calls[[#This Row],[Duration]]&lt;=60, "30 to 60 mins", calls[[#This Row],[Duration]]&lt;=120, "1 to 2 hours", TRUE, "More than 2 hours")</f>
        <v>More than 2 hours</v>
      </c>
      <c r="O704">
        <f>ROUND(calls[[#This Row],[Satisfaction Rating]],0)</f>
        <v>4</v>
      </c>
    </row>
    <row r="705" spans="2:15" x14ac:dyDescent="0.25">
      <c r="B705" t="s">
        <v>726</v>
      </c>
      <c r="C705" t="s">
        <v>19</v>
      </c>
      <c r="D705">
        <f>VLOOKUP(C705,customers[],3,0)</f>
        <v>26</v>
      </c>
      <c r="E705" t="str">
        <f>VLOOKUP(C705,customers[],2,0)</f>
        <v>Male</v>
      </c>
      <c r="F705" t="str">
        <f>VLOOKUP(C705,customers[],4,0)</f>
        <v>Cincinnati</v>
      </c>
      <c r="G705">
        <v>143</v>
      </c>
      <c r="H705" s="17" t="s">
        <v>5</v>
      </c>
      <c r="I705" s="18">
        <v>45170</v>
      </c>
      <c r="J705">
        <v>20</v>
      </c>
      <c r="K705">
        <v>4.7</v>
      </c>
      <c r="L705">
        <f>IF(MONTH(calls[[#This Row],[Date of Call]])&lt;=6, YEAR(calls[[#This Row],[Date of Call]]), YEAR(calls[[#This Row],[Date of Call]])+1)</f>
        <v>2024</v>
      </c>
      <c r="M705" t="str">
        <f>TEXT(calls[[#This Row],[Date of Call]],"DDDD")</f>
        <v>الجمعة</v>
      </c>
      <c r="N705" t="str" cm="1">
        <f t="array" ref="N705">_xlfn.IFS(calls[[#This Row],[Duration]]&lt;=10,"Under 10 mins", calls[[#This Row],[Duration]]&lt;=30, "10 to 30 mins", calls[[#This Row],[Duration]]&lt;=60, "30 to 60 mins", calls[[#This Row],[Duration]]&lt;=120, "1 to 2 hours", TRUE, "More than 2 hours")</f>
        <v>More than 2 hours</v>
      </c>
      <c r="O705">
        <f>ROUND(calls[[#This Row],[Satisfaction Rating]],0)</f>
        <v>5</v>
      </c>
    </row>
    <row r="706" spans="2:15" x14ac:dyDescent="0.25">
      <c r="B706" t="s">
        <v>727</v>
      </c>
      <c r="C706" t="s">
        <v>17</v>
      </c>
      <c r="D706">
        <f>VLOOKUP(C706,customers[],3,0)</f>
        <v>30</v>
      </c>
      <c r="E706" t="str">
        <f>VLOOKUP(C706,customers[],2,0)</f>
        <v>Female</v>
      </c>
      <c r="F706" t="str">
        <f>VLOOKUP(C706,customers[],4,0)</f>
        <v>Cleveland</v>
      </c>
      <c r="G706">
        <v>96</v>
      </c>
      <c r="H706" s="17" t="s">
        <v>12</v>
      </c>
      <c r="I706" s="18">
        <v>45170</v>
      </c>
      <c r="J706">
        <v>36</v>
      </c>
      <c r="K706">
        <v>3.4</v>
      </c>
      <c r="L706">
        <f>IF(MONTH(calls[[#This Row],[Date of Call]])&lt;=6, YEAR(calls[[#This Row],[Date of Call]]), YEAR(calls[[#This Row],[Date of Call]])+1)</f>
        <v>2024</v>
      </c>
      <c r="M706" t="str">
        <f>TEXT(calls[[#This Row],[Date of Call]],"DDDD")</f>
        <v>الجمعة</v>
      </c>
      <c r="N706" t="str" cm="1">
        <f t="array" ref="N706">_xlfn.IFS(calls[[#This Row],[Duration]]&lt;=10,"Under 10 mins", calls[[#This Row],[Duration]]&lt;=30, "10 to 30 mins", calls[[#This Row],[Duration]]&lt;=60, "30 to 60 mins", calls[[#This Row],[Duration]]&lt;=120, "1 to 2 hours", TRUE, "More than 2 hours")</f>
        <v>1 to 2 hours</v>
      </c>
      <c r="O706">
        <f>ROUND(calls[[#This Row],[Satisfaction Rating]],0)</f>
        <v>3</v>
      </c>
    </row>
    <row r="707" spans="2:15" x14ac:dyDescent="0.25">
      <c r="B707" t="s">
        <v>728</v>
      </c>
      <c r="C707" t="s">
        <v>16</v>
      </c>
      <c r="D707">
        <f>VLOOKUP(C707,customers[],3,0)</f>
        <v>41</v>
      </c>
      <c r="E707" t="str">
        <f>VLOOKUP(C707,customers[],2,0)</f>
        <v>Male</v>
      </c>
      <c r="F707" t="str">
        <f>VLOOKUP(C707,customers[],4,0)</f>
        <v>Columbus</v>
      </c>
      <c r="G707">
        <v>84</v>
      </c>
      <c r="H707" s="17" t="s">
        <v>8</v>
      </c>
      <c r="I707" s="18">
        <v>45172</v>
      </c>
      <c r="J707">
        <v>72</v>
      </c>
      <c r="K707">
        <v>4</v>
      </c>
      <c r="L707">
        <f>IF(MONTH(calls[[#This Row],[Date of Call]])&lt;=6, YEAR(calls[[#This Row],[Date of Call]]), YEAR(calls[[#This Row],[Date of Call]])+1)</f>
        <v>2024</v>
      </c>
      <c r="M707" t="str">
        <f>TEXT(calls[[#This Row],[Date of Call]],"DDDD")</f>
        <v>الأحد</v>
      </c>
      <c r="N707" t="str" cm="1">
        <f t="array" ref="N707">_xlfn.IFS(calls[[#This Row],[Duration]]&lt;=10,"Under 10 mins", calls[[#This Row],[Duration]]&lt;=30, "10 to 30 mins", calls[[#This Row],[Duration]]&lt;=60, "30 to 60 mins", calls[[#This Row],[Duration]]&lt;=120, "1 to 2 hours", TRUE, "More than 2 hours")</f>
        <v>1 to 2 hours</v>
      </c>
      <c r="O707">
        <f>ROUND(calls[[#This Row],[Satisfaction Rating]],0)</f>
        <v>4</v>
      </c>
    </row>
    <row r="708" spans="2:15" x14ac:dyDescent="0.25">
      <c r="B708" t="s">
        <v>729</v>
      </c>
      <c r="C708" t="s">
        <v>21</v>
      </c>
      <c r="D708">
        <f>VLOOKUP(C708,customers[],3,0)</f>
        <v>25</v>
      </c>
      <c r="E708" t="str">
        <f>VLOOKUP(C708,customers[],2,0)</f>
        <v>Female</v>
      </c>
      <c r="F708" t="str">
        <f>VLOOKUP(C708,customers[],4,0)</f>
        <v>Columbus</v>
      </c>
      <c r="G708">
        <v>111</v>
      </c>
      <c r="H708" s="17" t="s">
        <v>8</v>
      </c>
      <c r="I708" s="18">
        <v>45172</v>
      </c>
      <c r="J708">
        <v>63</v>
      </c>
      <c r="K708">
        <v>4.5</v>
      </c>
      <c r="L708">
        <f>IF(MONTH(calls[[#This Row],[Date of Call]])&lt;=6, YEAR(calls[[#This Row],[Date of Call]]), YEAR(calls[[#This Row],[Date of Call]])+1)</f>
        <v>2024</v>
      </c>
      <c r="M708" t="str">
        <f>TEXT(calls[[#This Row],[Date of Call]],"DDDD")</f>
        <v>الأحد</v>
      </c>
      <c r="N708" t="str" cm="1">
        <f t="array" ref="N708">_xlfn.IFS(calls[[#This Row],[Duration]]&lt;=10,"Under 10 mins", calls[[#This Row],[Duration]]&lt;=30, "10 to 30 mins", calls[[#This Row],[Duration]]&lt;=60, "30 to 60 mins", calls[[#This Row],[Duration]]&lt;=120, "1 to 2 hours", TRUE, "More than 2 hours")</f>
        <v>1 to 2 hours</v>
      </c>
      <c r="O708">
        <f>ROUND(calls[[#This Row],[Satisfaction Rating]],0)</f>
        <v>5</v>
      </c>
    </row>
    <row r="709" spans="2:15" x14ac:dyDescent="0.25">
      <c r="B709" t="s">
        <v>730</v>
      </c>
      <c r="C709" t="s">
        <v>21</v>
      </c>
      <c r="D709">
        <f>VLOOKUP(C709,customers[],3,0)</f>
        <v>25</v>
      </c>
      <c r="E709" t="str">
        <f>VLOOKUP(C709,customers[],2,0)</f>
        <v>Female</v>
      </c>
      <c r="F709" t="str">
        <f>VLOOKUP(C709,customers[],4,0)</f>
        <v>Columbus</v>
      </c>
      <c r="G709">
        <v>103</v>
      </c>
      <c r="H709" s="17" t="s">
        <v>9</v>
      </c>
      <c r="I709" s="18">
        <v>45173</v>
      </c>
      <c r="J709">
        <v>44</v>
      </c>
      <c r="K709">
        <v>4.5</v>
      </c>
      <c r="L709">
        <f>IF(MONTH(calls[[#This Row],[Date of Call]])&lt;=6, YEAR(calls[[#This Row],[Date of Call]]), YEAR(calls[[#This Row],[Date of Call]])+1)</f>
        <v>2024</v>
      </c>
      <c r="M709" t="str">
        <f>TEXT(calls[[#This Row],[Date of Call]],"DDDD")</f>
        <v>الإثنين</v>
      </c>
      <c r="N709" t="str" cm="1">
        <f t="array" ref="N709">_xlfn.IFS(calls[[#This Row],[Duration]]&lt;=10,"Under 10 mins", calls[[#This Row],[Duration]]&lt;=30, "10 to 30 mins", calls[[#This Row],[Duration]]&lt;=60, "30 to 60 mins", calls[[#This Row],[Duration]]&lt;=120, "1 to 2 hours", TRUE, "More than 2 hours")</f>
        <v>1 to 2 hours</v>
      </c>
      <c r="O709">
        <f>ROUND(calls[[#This Row],[Satisfaction Rating]],0)</f>
        <v>5</v>
      </c>
    </row>
    <row r="710" spans="2:15" x14ac:dyDescent="0.25">
      <c r="B710" t="s">
        <v>731</v>
      </c>
      <c r="C710" t="s">
        <v>19</v>
      </c>
      <c r="D710">
        <f>VLOOKUP(C710,customers[],3,0)</f>
        <v>26</v>
      </c>
      <c r="E710" t="str">
        <f>VLOOKUP(C710,customers[],2,0)</f>
        <v>Male</v>
      </c>
      <c r="F710" t="str">
        <f>VLOOKUP(C710,customers[],4,0)</f>
        <v>Cincinnati</v>
      </c>
      <c r="G710">
        <v>61</v>
      </c>
      <c r="H710" s="17" t="s">
        <v>10</v>
      </c>
      <c r="I710" s="18">
        <v>45173</v>
      </c>
      <c r="J710">
        <v>132</v>
      </c>
      <c r="K710">
        <v>4.9000000000000004</v>
      </c>
      <c r="L710">
        <f>IF(MONTH(calls[[#This Row],[Date of Call]])&lt;=6, YEAR(calls[[#This Row],[Date of Call]]), YEAR(calls[[#This Row],[Date of Call]])+1)</f>
        <v>2024</v>
      </c>
      <c r="M710" t="str">
        <f>TEXT(calls[[#This Row],[Date of Call]],"DDDD")</f>
        <v>الإثنين</v>
      </c>
      <c r="N710" t="str" cm="1">
        <f t="array" ref="N710">_xlfn.IFS(calls[[#This Row],[Duration]]&lt;=10,"Under 10 mins", calls[[#This Row],[Duration]]&lt;=30, "10 to 30 mins", calls[[#This Row],[Duration]]&lt;=60, "30 to 60 mins", calls[[#This Row],[Duration]]&lt;=120, "1 to 2 hours", TRUE, "More than 2 hours")</f>
        <v>1 to 2 hours</v>
      </c>
      <c r="O710">
        <f>ROUND(calls[[#This Row],[Satisfaction Rating]],0)</f>
        <v>5</v>
      </c>
    </row>
    <row r="711" spans="2:15" x14ac:dyDescent="0.25">
      <c r="B711" t="s">
        <v>732</v>
      </c>
      <c r="C711" t="s">
        <v>15</v>
      </c>
      <c r="D711">
        <f>VLOOKUP(C711,customers[],3,0)</f>
        <v>28</v>
      </c>
      <c r="E711" t="str">
        <f>VLOOKUP(C711,customers[],2,0)</f>
        <v>Female</v>
      </c>
      <c r="F711" t="str">
        <f>VLOOKUP(C711,customers[],4,0)</f>
        <v>Cincinnati</v>
      </c>
      <c r="G711">
        <v>113</v>
      </c>
      <c r="H711" s="17" t="s">
        <v>12</v>
      </c>
      <c r="I711" s="18">
        <v>45173</v>
      </c>
      <c r="J711">
        <v>46</v>
      </c>
      <c r="K711">
        <v>4.4000000000000004</v>
      </c>
      <c r="L711">
        <f>IF(MONTH(calls[[#This Row],[Date of Call]])&lt;=6, YEAR(calls[[#This Row],[Date of Call]]), YEAR(calls[[#This Row],[Date of Call]])+1)</f>
        <v>2024</v>
      </c>
      <c r="M711" t="str">
        <f>TEXT(calls[[#This Row],[Date of Call]],"DDDD")</f>
        <v>الإثنين</v>
      </c>
      <c r="N711" t="str" cm="1">
        <f t="array" ref="N711">_xlfn.IFS(calls[[#This Row],[Duration]]&lt;=10,"Under 10 mins", calls[[#This Row],[Duration]]&lt;=30, "10 to 30 mins", calls[[#This Row],[Duration]]&lt;=60, "30 to 60 mins", calls[[#This Row],[Duration]]&lt;=120, "1 to 2 hours", TRUE, "More than 2 hours")</f>
        <v>1 to 2 hours</v>
      </c>
      <c r="O711">
        <f>ROUND(calls[[#This Row],[Satisfaction Rating]],0)</f>
        <v>4</v>
      </c>
    </row>
    <row r="712" spans="2:15" x14ac:dyDescent="0.25">
      <c r="B712" t="s">
        <v>733</v>
      </c>
      <c r="C712" t="s">
        <v>15</v>
      </c>
      <c r="D712">
        <f>VLOOKUP(C712,customers[],3,0)</f>
        <v>28</v>
      </c>
      <c r="E712" t="str">
        <f>VLOOKUP(C712,customers[],2,0)</f>
        <v>Female</v>
      </c>
      <c r="F712" t="str">
        <f>VLOOKUP(C712,customers[],4,0)</f>
        <v>Cincinnati</v>
      </c>
      <c r="G712">
        <v>96</v>
      </c>
      <c r="H712" s="17" t="s">
        <v>12</v>
      </c>
      <c r="I712" s="18">
        <v>45173</v>
      </c>
      <c r="J712">
        <v>96</v>
      </c>
      <c r="K712">
        <v>2.9</v>
      </c>
      <c r="L712">
        <f>IF(MONTH(calls[[#This Row],[Date of Call]])&lt;=6, YEAR(calls[[#This Row],[Date of Call]]), YEAR(calls[[#This Row],[Date of Call]])+1)</f>
        <v>2024</v>
      </c>
      <c r="M712" t="str">
        <f>TEXT(calls[[#This Row],[Date of Call]],"DDDD")</f>
        <v>الإثنين</v>
      </c>
      <c r="N712" t="str" cm="1">
        <f t="array" ref="N712">_xlfn.IFS(calls[[#This Row],[Duration]]&lt;=10,"Under 10 mins", calls[[#This Row],[Duration]]&lt;=30, "10 to 30 mins", calls[[#This Row],[Duration]]&lt;=60, "30 to 60 mins", calls[[#This Row],[Duration]]&lt;=120, "1 to 2 hours", TRUE, "More than 2 hours")</f>
        <v>1 to 2 hours</v>
      </c>
      <c r="O712">
        <f>ROUND(calls[[#This Row],[Satisfaction Rating]],0)</f>
        <v>3</v>
      </c>
    </row>
    <row r="713" spans="2:15" x14ac:dyDescent="0.25">
      <c r="B713" t="s">
        <v>734</v>
      </c>
      <c r="C713" t="s">
        <v>23</v>
      </c>
      <c r="D713">
        <f>VLOOKUP(C713,customers[],3,0)</f>
        <v>31</v>
      </c>
      <c r="E713" t="str">
        <f>VLOOKUP(C713,customers[],2,0)</f>
        <v>Male</v>
      </c>
      <c r="F713" t="str">
        <f>VLOOKUP(C713,customers[],4,0)</f>
        <v>Cleveland</v>
      </c>
      <c r="G713">
        <v>131</v>
      </c>
      <c r="H713" s="17" t="s">
        <v>9</v>
      </c>
      <c r="I713" s="18">
        <v>45174</v>
      </c>
      <c r="J713">
        <v>75</v>
      </c>
      <c r="K713">
        <v>4.4000000000000004</v>
      </c>
      <c r="L713">
        <f>IF(MONTH(calls[[#This Row],[Date of Call]])&lt;=6, YEAR(calls[[#This Row],[Date of Call]]), YEAR(calls[[#This Row],[Date of Call]])+1)</f>
        <v>2024</v>
      </c>
      <c r="M713" t="str">
        <f>TEXT(calls[[#This Row],[Date of Call]],"DDDD")</f>
        <v>الثلاثاء</v>
      </c>
      <c r="N713" t="str" cm="1">
        <f t="array" ref="N713">_xlfn.IFS(calls[[#This Row],[Duration]]&lt;=10,"Under 10 mins", calls[[#This Row],[Duration]]&lt;=30, "10 to 30 mins", calls[[#This Row],[Duration]]&lt;=60, "30 to 60 mins", calls[[#This Row],[Duration]]&lt;=120, "1 to 2 hours", TRUE, "More than 2 hours")</f>
        <v>More than 2 hours</v>
      </c>
      <c r="O713">
        <f>ROUND(calls[[#This Row],[Satisfaction Rating]],0)</f>
        <v>4</v>
      </c>
    </row>
    <row r="714" spans="2:15" x14ac:dyDescent="0.25">
      <c r="B714" t="s">
        <v>735</v>
      </c>
      <c r="C714" t="s">
        <v>14</v>
      </c>
      <c r="D714">
        <f>VLOOKUP(C714,customers[],3,0)</f>
        <v>22</v>
      </c>
      <c r="E714" t="str">
        <f>VLOOKUP(C714,customers[],2,0)</f>
        <v>Female</v>
      </c>
      <c r="F714" t="str">
        <f>VLOOKUP(C714,customers[],4,0)</f>
        <v>Cleveland</v>
      </c>
      <c r="G714">
        <v>52</v>
      </c>
      <c r="H714" s="17" t="s">
        <v>12</v>
      </c>
      <c r="I714" s="18">
        <v>45175</v>
      </c>
      <c r="J714">
        <v>88</v>
      </c>
      <c r="K714">
        <v>4.3</v>
      </c>
      <c r="L714">
        <f>IF(MONTH(calls[[#This Row],[Date of Call]])&lt;=6, YEAR(calls[[#This Row],[Date of Call]]), YEAR(calls[[#This Row],[Date of Call]])+1)</f>
        <v>2024</v>
      </c>
      <c r="M714" t="str">
        <f>TEXT(calls[[#This Row],[Date of Call]],"DDDD")</f>
        <v>الأربعاء</v>
      </c>
      <c r="N714" t="str" cm="1">
        <f t="array" ref="N714">_xlfn.IFS(calls[[#This Row],[Duration]]&lt;=10,"Under 10 mins", calls[[#This Row],[Duration]]&lt;=30, "10 to 30 mins", calls[[#This Row],[Duration]]&lt;=60, "30 to 60 mins", calls[[#This Row],[Duration]]&lt;=120, "1 to 2 hours", TRUE, "More than 2 hours")</f>
        <v>30 to 60 mins</v>
      </c>
      <c r="O714">
        <f>ROUND(calls[[#This Row],[Satisfaction Rating]],0)</f>
        <v>4</v>
      </c>
    </row>
    <row r="715" spans="2:15" x14ac:dyDescent="0.25">
      <c r="B715" t="s">
        <v>736</v>
      </c>
      <c r="C715" t="s">
        <v>11</v>
      </c>
      <c r="D715">
        <f>VLOOKUP(C715,customers[],3,0)</f>
        <v>36</v>
      </c>
      <c r="E715" t="str">
        <f>VLOOKUP(C715,customers[],2,0)</f>
        <v>Male</v>
      </c>
      <c r="F715" t="str">
        <f>VLOOKUP(C715,customers[],4,0)</f>
        <v>Cincinnati</v>
      </c>
      <c r="G715">
        <v>100</v>
      </c>
      <c r="H715" s="17" t="s">
        <v>9</v>
      </c>
      <c r="I715" s="18">
        <v>45175</v>
      </c>
      <c r="J715">
        <v>24</v>
      </c>
      <c r="K715">
        <v>4.7</v>
      </c>
      <c r="L715">
        <f>IF(MONTH(calls[[#This Row],[Date of Call]])&lt;=6, YEAR(calls[[#This Row],[Date of Call]]), YEAR(calls[[#This Row],[Date of Call]])+1)</f>
        <v>2024</v>
      </c>
      <c r="M715" t="str">
        <f>TEXT(calls[[#This Row],[Date of Call]],"DDDD")</f>
        <v>الأربعاء</v>
      </c>
      <c r="N715" t="str" cm="1">
        <f t="array" ref="N715">_xlfn.IFS(calls[[#This Row],[Duration]]&lt;=10,"Under 10 mins", calls[[#This Row],[Duration]]&lt;=30, "10 to 30 mins", calls[[#This Row],[Duration]]&lt;=60, "30 to 60 mins", calls[[#This Row],[Duration]]&lt;=120, "1 to 2 hours", TRUE, "More than 2 hours")</f>
        <v>1 to 2 hours</v>
      </c>
      <c r="O715">
        <f>ROUND(calls[[#This Row],[Satisfaction Rating]],0)</f>
        <v>5</v>
      </c>
    </row>
    <row r="716" spans="2:15" x14ac:dyDescent="0.25">
      <c r="B716" t="s">
        <v>737</v>
      </c>
      <c r="C716" t="s">
        <v>20</v>
      </c>
      <c r="D716">
        <f>VLOOKUP(C716,customers[],3,0)</f>
        <v>38</v>
      </c>
      <c r="E716" t="str">
        <f>VLOOKUP(C716,customers[],2,0)</f>
        <v>Female</v>
      </c>
      <c r="F716" t="str">
        <f>VLOOKUP(C716,customers[],4,0)</f>
        <v>Columbus</v>
      </c>
      <c r="G716">
        <v>58</v>
      </c>
      <c r="H716" s="17" t="s">
        <v>5</v>
      </c>
      <c r="I716" s="18">
        <v>45175</v>
      </c>
      <c r="J716">
        <v>96</v>
      </c>
      <c r="K716">
        <v>3.2</v>
      </c>
      <c r="L716">
        <f>IF(MONTH(calls[[#This Row],[Date of Call]])&lt;=6, YEAR(calls[[#This Row],[Date of Call]]), YEAR(calls[[#This Row],[Date of Call]])+1)</f>
        <v>2024</v>
      </c>
      <c r="M716" t="str">
        <f>TEXT(calls[[#This Row],[Date of Call]],"DDDD")</f>
        <v>الأربعاء</v>
      </c>
      <c r="N716" t="str" cm="1">
        <f t="array" ref="N716">_xlfn.IFS(calls[[#This Row],[Duration]]&lt;=10,"Under 10 mins", calls[[#This Row],[Duration]]&lt;=30, "10 to 30 mins", calls[[#This Row],[Duration]]&lt;=60, "30 to 60 mins", calls[[#This Row],[Duration]]&lt;=120, "1 to 2 hours", TRUE, "More than 2 hours")</f>
        <v>30 to 60 mins</v>
      </c>
      <c r="O716">
        <f>ROUND(calls[[#This Row],[Satisfaction Rating]],0)</f>
        <v>3</v>
      </c>
    </row>
    <row r="717" spans="2:15" x14ac:dyDescent="0.25">
      <c r="B717" t="s">
        <v>738</v>
      </c>
      <c r="C717" t="s">
        <v>7</v>
      </c>
      <c r="D717">
        <f>VLOOKUP(C717,customers[],3,0)</f>
        <v>30</v>
      </c>
      <c r="E717" t="str">
        <f>VLOOKUP(C717,customers[],2,0)</f>
        <v>Female</v>
      </c>
      <c r="F717" t="str">
        <f>VLOOKUP(C717,customers[],4,0)</f>
        <v>Cincinnati</v>
      </c>
      <c r="G717">
        <v>144</v>
      </c>
      <c r="H717" s="17" t="s">
        <v>5</v>
      </c>
      <c r="I717" s="18">
        <v>45176</v>
      </c>
      <c r="J717">
        <v>124</v>
      </c>
      <c r="K717">
        <v>2.2999999999999998</v>
      </c>
      <c r="L717">
        <f>IF(MONTH(calls[[#This Row],[Date of Call]])&lt;=6, YEAR(calls[[#This Row],[Date of Call]]), YEAR(calls[[#This Row],[Date of Call]])+1)</f>
        <v>2024</v>
      </c>
      <c r="M717" t="str">
        <f>TEXT(calls[[#This Row],[Date of Call]],"DDDD")</f>
        <v>الخميس</v>
      </c>
      <c r="N717" t="str" cm="1">
        <f t="array" ref="N717">_xlfn.IFS(calls[[#This Row],[Duration]]&lt;=10,"Under 10 mins", calls[[#This Row],[Duration]]&lt;=30, "10 to 30 mins", calls[[#This Row],[Duration]]&lt;=60, "30 to 60 mins", calls[[#This Row],[Duration]]&lt;=120, "1 to 2 hours", TRUE, "More than 2 hours")</f>
        <v>More than 2 hours</v>
      </c>
      <c r="O717">
        <f>ROUND(calls[[#This Row],[Satisfaction Rating]],0)</f>
        <v>2</v>
      </c>
    </row>
    <row r="718" spans="2:15" x14ac:dyDescent="0.25">
      <c r="B718" t="s">
        <v>739</v>
      </c>
      <c r="C718" t="s">
        <v>20</v>
      </c>
      <c r="D718">
        <f>VLOOKUP(C718,customers[],3,0)</f>
        <v>38</v>
      </c>
      <c r="E718" t="str">
        <f>VLOOKUP(C718,customers[],2,0)</f>
        <v>Female</v>
      </c>
      <c r="F718" t="str">
        <f>VLOOKUP(C718,customers[],4,0)</f>
        <v>Columbus</v>
      </c>
      <c r="G718">
        <v>53</v>
      </c>
      <c r="H718" s="17" t="s">
        <v>10</v>
      </c>
      <c r="I718" s="18">
        <v>45177</v>
      </c>
      <c r="J718">
        <v>130</v>
      </c>
      <c r="K718">
        <v>3.6</v>
      </c>
      <c r="L718">
        <f>IF(MONTH(calls[[#This Row],[Date of Call]])&lt;=6, YEAR(calls[[#This Row],[Date of Call]]), YEAR(calls[[#This Row],[Date of Call]])+1)</f>
        <v>2024</v>
      </c>
      <c r="M718" t="str">
        <f>TEXT(calls[[#This Row],[Date of Call]],"DDDD")</f>
        <v>الجمعة</v>
      </c>
      <c r="N718" t="str" cm="1">
        <f t="array" ref="N718">_xlfn.IFS(calls[[#This Row],[Duration]]&lt;=10,"Under 10 mins", calls[[#This Row],[Duration]]&lt;=30, "10 to 30 mins", calls[[#This Row],[Duration]]&lt;=60, "30 to 60 mins", calls[[#This Row],[Duration]]&lt;=120, "1 to 2 hours", TRUE, "More than 2 hours")</f>
        <v>30 to 60 mins</v>
      </c>
      <c r="O718">
        <f>ROUND(calls[[#This Row],[Satisfaction Rating]],0)</f>
        <v>4</v>
      </c>
    </row>
    <row r="719" spans="2:15" x14ac:dyDescent="0.25">
      <c r="B719" t="s">
        <v>740</v>
      </c>
      <c r="C719" t="s">
        <v>15</v>
      </c>
      <c r="D719">
        <f>VLOOKUP(C719,customers[],3,0)</f>
        <v>28</v>
      </c>
      <c r="E719" t="str">
        <f>VLOOKUP(C719,customers[],2,0)</f>
        <v>Female</v>
      </c>
      <c r="F719" t="str">
        <f>VLOOKUP(C719,customers[],4,0)</f>
        <v>Cincinnati</v>
      </c>
      <c r="G719">
        <v>97</v>
      </c>
      <c r="H719" s="17" t="s">
        <v>8</v>
      </c>
      <c r="I719" s="18">
        <v>45177</v>
      </c>
      <c r="J719">
        <v>45</v>
      </c>
      <c r="K719">
        <v>4.5999999999999996</v>
      </c>
      <c r="L719">
        <f>IF(MONTH(calls[[#This Row],[Date of Call]])&lt;=6, YEAR(calls[[#This Row],[Date of Call]]), YEAR(calls[[#This Row],[Date of Call]])+1)</f>
        <v>2024</v>
      </c>
      <c r="M719" t="str">
        <f>TEXT(calls[[#This Row],[Date of Call]],"DDDD")</f>
        <v>الجمعة</v>
      </c>
      <c r="N719" t="str" cm="1">
        <f t="array" ref="N719">_xlfn.IFS(calls[[#This Row],[Duration]]&lt;=10,"Under 10 mins", calls[[#This Row],[Duration]]&lt;=30, "10 to 30 mins", calls[[#This Row],[Duration]]&lt;=60, "30 to 60 mins", calls[[#This Row],[Duration]]&lt;=120, "1 to 2 hours", TRUE, "More than 2 hours")</f>
        <v>1 to 2 hours</v>
      </c>
      <c r="O719">
        <f>ROUND(calls[[#This Row],[Satisfaction Rating]],0)</f>
        <v>5</v>
      </c>
    </row>
    <row r="720" spans="2:15" x14ac:dyDescent="0.25">
      <c r="B720" t="s">
        <v>741</v>
      </c>
      <c r="C720" t="s">
        <v>22</v>
      </c>
      <c r="D720">
        <f>VLOOKUP(C720,customers[],3,0)</f>
        <v>37</v>
      </c>
      <c r="E720" t="str">
        <f>VLOOKUP(C720,customers[],2,0)</f>
        <v>Male</v>
      </c>
      <c r="F720" t="str">
        <f>VLOOKUP(C720,customers[],4,0)</f>
        <v>Columbus</v>
      </c>
      <c r="G720">
        <v>64</v>
      </c>
      <c r="H720" s="17" t="s">
        <v>5</v>
      </c>
      <c r="I720" s="18">
        <v>45177</v>
      </c>
      <c r="J720">
        <v>66</v>
      </c>
      <c r="K720">
        <v>4</v>
      </c>
      <c r="L720">
        <f>IF(MONTH(calls[[#This Row],[Date of Call]])&lt;=6, YEAR(calls[[#This Row],[Date of Call]]), YEAR(calls[[#This Row],[Date of Call]])+1)</f>
        <v>2024</v>
      </c>
      <c r="M720" t="str">
        <f>TEXT(calls[[#This Row],[Date of Call]],"DDDD")</f>
        <v>الجمعة</v>
      </c>
      <c r="N720" t="str" cm="1">
        <f t="array" ref="N720">_xlfn.IFS(calls[[#This Row],[Duration]]&lt;=10,"Under 10 mins", calls[[#This Row],[Duration]]&lt;=30, "10 to 30 mins", calls[[#This Row],[Duration]]&lt;=60, "30 to 60 mins", calls[[#This Row],[Duration]]&lt;=120, "1 to 2 hours", TRUE, "More than 2 hours")</f>
        <v>1 to 2 hours</v>
      </c>
      <c r="O720">
        <f>ROUND(calls[[#This Row],[Satisfaction Rating]],0)</f>
        <v>4</v>
      </c>
    </row>
    <row r="721" spans="2:15" x14ac:dyDescent="0.25">
      <c r="B721" t="s">
        <v>742</v>
      </c>
      <c r="C721" t="s">
        <v>19</v>
      </c>
      <c r="D721">
        <f>VLOOKUP(C721,customers[],3,0)</f>
        <v>26</v>
      </c>
      <c r="E721" t="str">
        <f>VLOOKUP(C721,customers[],2,0)</f>
        <v>Male</v>
      </c>
      <c r="F721" t="str">
        <f>VLOOKUP(C721,customers[],4,0)</f>
        <v>Cincinnati</v>
      </c>
      <c r="G721">
        <v>106</v>
      </c>
      <c r="H721" s="17" t="s">
        <v>9</v>
      </c>
      <c r="I721" s="18">
        <v>45177</v>
      </c>
      <c r="J721">
        <v>58</v>
      </c>
      <c r="K721">
        <v>4.7</v>
      </c>
      <c r="L721">
        <f>IF(MONTH(calls[[#This Row],[Date of Call]])&lt;=6, YEAR(calls[[#This Row],[Date of Call]]), YEAR(calls[[#This Row],[Date of Call]])+1)</f>
        <v>2024</v>
      </c>
      <c r="M721" t="str">
        <f>TEXT(calls[[#This Row],[Date of Call]],"DDDD")</f>
        <v>الجمعة</v>
      </c>
      <c r="N721" t="str" cm="1">
        <f t="array" ref="N721">_xlfn.IFS(calls[[#This Row],[Duration]]&lt;=10,"Under 10 mins", calls[[#This Row],[Duration]]&lt;=30, "10 to 30 mins", calls[[#This Row],[Duration]]&lt;=60, "30 to 60 mins", calls[[#This Row],[Duration]]&lt;=120, "1 to 2 hours", TRUE, "More than 2 hours")</f>
        <v>1 to 2 hours</v>
      </c>
      <c r="O721">
        <f>ROUND(calls[[#This Row],[Satisfaction Rating]],0)</f>
        <v>5</v>
      </c>
    </row>
    <row r="722" spans="2:15" x14ac:dyDescent="0.25">
      <c r="B722" t="s">
        <v>743</v>
      </c>
      <c r="C722" t="s">
        <v>16</v>
      </c>
      <c r="D722">
        <f>VLOOKUP(C722,customers[],3,0)</f>
        <v>41</v>
      </c>
      <c r="E722" t="str">
        <f>VLOOKUP(C722,customers[],2,0)</f>
        <v>Male</v>
      </c>
      <c r="F722" t="str">
        <f>VLOOKUP(C722,customers[],4,0)</f>
        <v>Columbus</v>
      </c>
      <c r="G722">
        <v>36</v>
      </c>
      <c r="H722" s="17" t="s">
        <v>5</v>
      </c>
      <c r="I722" s="18">
        <v>45178</v>
      </c>
      <c r="J722">
        <v>152</v>
      </c>
      <c r="K722">
        <v>4.3</v>
      </c>
      <c r="L722">
        <f>IF(MONTH(calls[[#This Row],[Date of Call]])&lt;=6, YEAR(calls[[#This Row],[Date of Call]]), YEAR(calls[[#This Row],[Date of Call]])+1)</f>
        <v>2024</v>
      </c>
      <c r="M722" t="str">
        <f>TEXT(calls[[#This Row],[Date of Call]],"DDDD")</f>
        <v>السبت</v>
      </c>
      <c r="N722" t="str" cm="1">
        <f t="array" ref="N722">_xlfn.IFS(calls[[#This Row],[Duration]]&lt;=10,"Under 10 mins", calls[[#This Row],[Duration]]&lt;=30, "10 to 30 mins", calls[[#This Row],[Duration]]&lt;=60, "30 to 60 mins", calls[[#This Row],[Duration]]&lt;=120, "1 to 2 hours", TRUE, "More than 2 hours")</f>
        <v>30 to 60 mins</v>
      </c>
      <c r="O722">
        <f>ROUND(calls[[#This Row],[Satisfaction Rating]],0)</f>
        <v>4</v>
      </c>
    </row>
    <row r="723" spans="2:15" x14ac:dyDescent="0.25">
      <c r="B723" t="s">
        <v>744</v>
      </c>
      <c r="C723" t="s">
        <v>7</v>
      </c>
      <c r="D723">
        <f>VLOOKUP(C723,customers[],3,0)</f>
        <v>30</v>
      </c>
      <c r="E723" t="str">
        <f>VLOOKUP(C723,customers[],2,0)</f>
        <v>Female</v>
      </c>
      <c r="F723" t="str">
        <f>VLOOKUP(C723,customers[],4,0)</f>
        <v>Cincinnati</v>
      </c>
      <c r="G723">
        <v>74</v>
      </c>
      <c r="H723" s="17" t="s">
        <v>12</v>
      </c>
      <c r="I723" s="18">
        <v>45178</v>
      </c>
      <c r="J723">
        <v>75</v>
      </c>
      <c r="K723">
        <v>2.8</v>
      </c>
      <c r="L723">
        <f>IF(MONTH(calls[[#This Row],[Date of Call]])&lt;=6, YEAR(calls[[#This Row],[Date of Call]]), YEAR(calls[[#This Row],[Date of Call]])+1)</f>
        <v>2024</v>
      </c>
      <c r="M723" t="str">
        <f>TEXT(calls[[#This Row],[Date of Call]],"DDDD")</f>
        <v>السبت</v>
      </c>
      <c r="N723" t="str" cm="1">
        <f t="array" ref="N723">_xlfn.IFS(calls[[#This Row],[Duration]]&lt;=10,"Under 10 mins", calls[[#This Row],[Duration]]&lt;=30, "10 to 30 mins", calls[[#This Row],[Duration]]&lt;=60, "30 to 60 mins", calls[[#This Row],[Duration]]&lt;=120, "1 to 2 hours", TRUE, "More than 2 hours")</f>
        <v>1 to 2 hours</v>
      </c>
      <c r="O723">
        <f>ROUND(calls[[#This Row],[Satisfaction Rating]],0)</f>
        <v>3</v>
      </c>
    </row>
    <row r="724" spans="2:15" x14ac:dyDescent="0.25">
      <c r="B724" t="s">
        <v>745</v>
      </c>
      <c r="C724" t="s">
        <v>6</v>
      </c>
      <c r="D724">
        <f>VLOOKUP(C724,customers[],3,0)</f>
        <v>23</v>
      </c>
      <c r="E724" t="str">
        <f>VLOOKUP(C724,customers[],2,0)</f>
        <v>Male</v>
      </c>
      <c r="F724" t="str">
        <f>VLOOKUP(C724,customers[],4,0)</f>
        <v>Columbus</v>
      </c>
      <c r="G724">
        <v>143</v>
      </c>
      <c r="H724" s="17" t="s">
        <v>8</v>
      </c>
      <c r="I724" s="18">
        <v>45178</v>
      </c>
      <c r="J724">
        <v>78</v>
      </c>
      <c r="K724">
        <v>4</v>
      </c>
      <c r="L724">
        <f>IF(MONTH(calls[[#This Row],[Date of Call]])&lt;=6, YEAR(calls[[#This Row],[Date of Call]]), YEAR(calls[[#This Row],[Date of Call]])+1)</f>
        <v>2024</v>
      </c>
      <c r="M724" t="str">
        <f>TEXT(calls[[#This Row],[Date of Call]],"DDDD")</f>
        <v>السبت</v>
      </c>
      <c r="N724" t="str" cm="1">
        <f t="array" ref="N724">_xlfn.IFS(calls[[#This Row],[Duration]]&lt;=10,"Under 10 mins", calls[[#This Row],[Duration]]&lt;=30, "10 to 30 mins", calls[[#This Row],[Duration]]&lt;=60, "30 to 60 mins", calls[[#This Row],[Duration]]&lt;=120, "1 to 2 hours", TRUE, "More than 2 hours")</f>
        <v>More than 2 hours</v>
      </c>
      <c r="O724">
        <f>ROUND(calls[[#This Row],[Satisfaction Rating]],0)</f>
        <v>4</v>
      </c>
    </row>
    <row r="725" spans="2:15" x14ac:dyDescent="0.25">
      <c r="B725" t="s">
        <v>746</v>
      </c>
      <c r="C725" t="s">
        <v>19</v>
      </c>
      <c r="D725">
        <f>VLOOKUP(C725,customers[],3,0)</f>
        <v>26</v>
      </c>
      <c r="E725" t="str">
        <f>VLOOKUP(C725,customers[],2,0)</f>
        <v>Male</v>
      </c>
      <c r="F725" t="str">
        <f>VLOOKUP(C725,customers[],4,0)</f>
        <v>Cincinnati</v>
      </c>
      <c r="G725">
        <v>94</v>
      </c>
      <c r="H725" s="17" t="s">
        <v>10</v>
      </c>
      <c r="I725" s="18">
        <v>45178</v>
      </c>
      <c r="J725">
        <v>69</v>
      </c>
      <c r="K725">
        <v>3.9</v>
      </c>
      <c r="L725">
        <f>IF(MONTH(calls[[#This Row],[Date of Call]])&lt;=6, YEAR(calls[[#This Row],[Date of Call]]), YEAR(calls[[#This Row],[Date of Call]])+1)</f>
        <v>2024</v>
      </c>
      <c r="M725" t="str">
        <f>TEXT(calls[[#This Row],[Date of Call]],"DDDD")</f>
        <v>السبت</v>
      </c>
      <c r="N725" t="str" cm="1">
        <f t="array" ref="N725">_xlfn.IFS(calls[[#This Row],[Duration]]&lt;=10,"Under 10 mins", calls[[#This Row],[Duration]]&lt;=30, "10 to 30 mins", calls[[#This Row],[Duration]]&lt;=60, "30 to 60 mins", calls[[#This Row],[Duration]]&lt;=120, "1 to 2 hours", TRUE, "More than 2 hours")</f>
        <v>1 to 2 hours</v>
      </c>
      <c r="O725">
        <f>ROUND(calls[[#This Row],[Satisfaction Rating]],0)</f>
        <v>4</v>
      </c>
    </row>
    <row r="726" spans="2:15" x14ac:dyDescent="0.25">
      <c r="B726" t="s">
        <v>747</v>
      </c>
      <c r="C726" t="s">
        <v>18</v>
      </c>
      <c r="D726">
        <f>VLOOKUP(C726,customers[],3,0)</f>
        <v>43</v>
      </c>
      <c r="E726" t="str">
        <f>VLOOKUP(C726,customers[],2,0)</f>
        <v>Female</v>
      </c>
      <c r="F726" t="str">
        <f>VLOOKUP(C726,customers[],4,0)</f>
        <v>Cleveland</v>
      </c>
      <c r="G726">
        <v>124</v>
      </c>
      <c r="H726" s="17" t="s">
        <v>9</v>
      </c>
      <c r="I726" s="18">
        <v>45179</v>
      </c>
      <c r="J726">
        <v>46</v>
      </c>
      <c r="K726">
        <v>3.1</v>
      </c>
      <c r="L726">
        <f>IF(MONTH(calls[[#This Row],[Date of Call]])&lt;=6, YEAR(calls[[#This Row],[Date of Call]]), YEAR(calls[[#This Row],[Date of Call]])+1)</f>
        <v>2024</v>
      </c>
      <c r="M726" t="str">
        <f>TEXT(calls[[#This Row],[Date of Call]],"DDDD")</f>
        <v>الأحد</v>
      </c>
      <c r="N726" t="str" cm="1">
        <f t="array" ref="N726">_xlfn.IFS(calls[[#This Row],[Duration]]&lt;=10,"Under 10 mins", calls[[#This Row],[Duration]]&lt;=30, "10 to 30 mins", calls[[#This Row],[Duration]]&lt;=60, "30 to 60 mins", calls[[#This Row],[Duration]]&lt;=120, "1 to 2 hours", TRUE, "More than 2 hours")</f>
        <v>More than 2 hours</v>
      </c>
      <c r="O726">
        <f>ROUND(calls[[#This Row],[Satisfaction Rating]],0)</f>
        <v>3</v>
      </c>
    </row>
    <row r="727" spans="2:15" x14ac:dyDescent="0.25">
      <c r="B727" t="s">
        <v>748</v>
      </c>
      <c r="C727" t="s">
        <v>16</v>
      </c>
      <c r="D727">
        <f>VLOOKUP(C727,customers[],3,0)</f>
        <v>41</v>
      </c>
      <c r="E727" t="str">
        <f>VLOOKUP(C727,customers[],2,0)</f>
        <v>Male</v>
      </c>
      <c r="F727" t="str">
        <f>VLOOKUP(C727,customers[],4,0)</f>
        <v>Columbus</v>
      </c>
      <c r="G727">
        <v>156</v>
      </c>
      <c r="H727" s="17" t="s">
        <v>5</v>
      </c>
      <c r="I727" s="18">
        <v>45179</v>
      </c>
      <c r="J727">
        <v>64</v>
      </c>
      <c r="K727">
        <v>2.7</v>
      </c>
      <c r="L727">
        <f>IF(MONTH(calls[[#This Row],[Date of Call]])&lt;=6, YEAR(calls[[#This Row],[Date of Call]]), YEAR(calls[[#This Row],[Date of Call]])+1)</f>
        <v>2024</v>
      </c>
      <c r="M727" t="str">
        <f>TEXT(calls[[#This Row],[Date of Call]],"DDDD")</f>
        <v>الأحد</v>
      </c>
      <c r="N727" t="str" cm="1">
        <f t="array" ref="N727">_xlfn.IFS(calls[[#This Row],[Duration]]&lt;=10,"Under 10 mins", calls[[#This Row],[Duration]]&lt;=30, "10 to 30 mins", calls[[#This Row],[Duration]]&lt;=60, "30 to 60 mins", calls[[#This Row],[Duration]]&lt;=120, "1 to 2 hours", TRUE, "More than 2 hours")</f>
        <v>More than 2 hours</v>
      </c>
      <c r="O727">
        <f>ROUND(calls[[#This Row],[Satisfaction Rating]],0)</f>
        <v>3</v>
      </c>
    </row>
    <row r="728" spans="2:15" x14ac:dyDescent="0.25">
      <c r="B728" t="s">
        <v>749</v>
      </c>
      <c r="C728" t="s">
        <v>17</v>
      </c>
      <c r="D728">
        <f>VLOOKUP(C728,customers[],3,0)</f>
        <v>30</v>
      </c>
      <c r="E728" t="str">
        <f>VLOOKUP(C728,customers[],2,0)</f>
        <v>Female</v>
      </c>
      <c r="F728" t="str">
        <f>VLOOKUP(C728,customers[],4,0)</f>
        <v>Cleveland</v>
      </c>
      <c r="G728">
        <v>107</v>
      </c>
      <c r="H728" s="17" t="s">
        <v>8</v>
      </c>
      <c r="I728" s="18">
        <v>45179</v>
      </c>
      <c r="J728">
        <v>38</v>
      </c>
      <c r="K728">
        <v>4.7</v>
      </c>
      <c r="L728">
        <f>IF(MONTH(calls[[#This Row],[Date of Call]])&lt;=6, YEAR(calls[[#This Row],[Date of Call]]), YEAR(calls[[#This Row],[Date of Call]])+1)</f>
        <v>2024</v>
      </c>
      <c r="M728" t="str">
        <f>TEXT(calls[[#This Row],[Date of Call]],"DDDD")</f>
        <v>الأحد</v>
      </c>
      <c r="N728" t="str" cm="1">
        <f t="array" ref="N728">_xlfn.IFS(calls[[#This Row],[Duration]]&lt;=10,"Under 10 mins", calls[[#This Row],[Duration]]&lt;=30, "10 to 30 mins", calls[[#This Row],[Duration]]&lt;=60, "30 to 60 mins", calls[[#This Row],[Duration]]&lt;=120, "1 to 2 hours", TRUE, "More than 2 hours")</f>
        <v>1 to 2 hours</v>
      </c>
      <c r="O728">
        <f>ROUND(calls[[#This Row],[Satisfaction Rating]],0)</f>
        <v>5</v>
      </c>
    </row>
    <row r="729" spans="2:15" x14ac:dyDescent="0.25">
      <c r="B729" t="s">
        <v>750</v>
      </c>
      <c r="C729" t="s">
        <v>19</v>
      </c>
      <c r="D729">
        <f>VLOOKUP(C729,customers[],3,0)</f>
        <v>26</v>
      </c>
      <c r="E729" t="str">
        <f>VLOOKUP(C729,customers[],2,0)</f>
        <v>Male</v>
      </c>
      <c r="F729" t="str">
        <f>VLOOKUP(C729,customers[],4,0)</f>
        <v>Cincinnati</v>
      </c>
      <c r="G729">
        <v>58</v>
      </c>
      <c r="H729" s="17" t="s">
        <v>8</v>
      </c>
      <c r="I729" s="18">
        <v>45181</v>
      </c>
      <c r="J729">
        <v>90</v>
      </c>
      <c r="K729">
        <v>4.3</v>
      </c>
      <c r="L729">
        <f>IF(MONTH(calls[[#This Row],[Date of Call]])&lt;=6, YEAR(calls[[#This Row],[Date of Call]]), YEAR(calls[[#This Row],[Date of Call]])+1)</f>
        <v>2024</v>
      </c>
      <c r="M729" t="str">
        <f>TEXT(calls[[#This Row],[Date of Call]],"DDDD")</f>
        <v>الثلاثاء</v>
      </c>
      <c r="N729" t="str" cm="1">
        <f t="array" ref="N729">_xlfn.IFS(calls[[#This Row],[Duration]]&lt;=10,"Under 10 mins", calls[[#This Row],[Duration]]&lt;=30, "10 to 30 mins", calls[[#This Row],[Duration]]&lt;=60, "30 to 60 mins", calls[[#This Row],[Duration]]&lt;=120, "1 to 2 hours", TRUE, "More than 2 hours")</f>
        <v>30 to 60 mins</v>
      </c>
      <c r="O729">
        <f>ROUND(calls[[#This Row],[Satisfaction Rating]],0)</f>
        <v>4</v>
      </c>
    </row>
    <row r="730" spans="2:15" x14ac:dyDescent="0.25">
      <c r="B730" t="s">
        <v>751</v>
      </c>
      <c r="C730" t="s">
        <v>13</v>
      </c>
      <c r="D730">
        <f>VLOOKUP(C730,customers[],3,0)</f>
        <v>37</v>
      </c>
      <c r="E730" t="str">
        <f>VLOOKUP(C730,customers[],2,0)</f>
        <v>Female</v>
      </c>
      <c r="F730" t="str">
        <f>VLOOKUP(C730,customers[],4,0)</f>
        <v>Cleveland</v>
      </c>
      <c r="G730">
        <v>66</v>
      </c>
      <c r="H730" s="17" t="s">
        <v>8</v>
      </c>
      <c r="I730" s="18">
        <v>45181</v>
      </c>
      <c r="J730">
        <v>32</v>
      </c>
      <c r="K730">
        <v>3.8</v>
      </c>
      <c r="L730">
        <f>IF(MONTH(calls[[#This Row],[Date of Call]])&lt;=6, YEAR(calls[[#This Row],[Date of Call]]), YEAR(calls[[#This Row],[Date of Call]])+1)</f>
        <v>2024</v>
      </c>
      <c r="M730" t="str">
        <f>TEXT(calls[[#This Row],[Date of Call]],"DDDD")</f>
        <v>الثلاثاء</v>
      </c>
      <c r="N730" t="str" cm="1">
        <f t="array" ref="N730">_xlfn.IFS(calls[[#This Row],[Duration]]&lt;=10,"Under 10 mins", calls[[#This Row],[Duration]]&lt;=30, "10 to 30 mins", calls[[#This Row],[Duration]]&lt;=60, "30 to 60 mins", calls[[#This Row],[Duration]]&lt;=120, "1 to 2 hours", TRUE, "More than 2 hours")</f>
        <v>1 to 2 hours</v>
      </c>
      <c r="O730">
        <f>ROUND(calls[[#This Row],[Satisfaction Rating]],0)</f>
        <v>4</v>
      </c>
    </row>
    <row r="731" spans="2:15" x14ac:dyDescent="0.25">
      <c r="B731" t="s">
        <v>752</v>
      </c>
      <c r="C731" t="s">
        <v>23</v>
      </c>
      <c r="D731">
        <f>VLOOKUP(C731,customers[],3,0)</f>
        <v>31</v>
      </c>
      <c r="E731" t="str">
        <f>VLOOKUP(C731,customers[],2,0)</f>
        <v>Male</v>
      </c>
      <c r="F731" t="str">
        <f>VLOOKUP(C731,customers[],4,0)</f>
        <v>Cleveland</v>
      </c>
      <c r="G731">
        <v>75</v>
      </c>
      <c r="H731" s="17" t="s">
        <v>5</v>
      </c>
      <c r="I731" s="18">
        <v>45181</v>
      </c>
      <c r="J731">
        <v>120</v>
      </c>
      <c r="K731">
        <v>4.4000000000000004</v>
      </c>
      <c r="L731">
        <f>IF(MONTH(calls[[#This Row],[Date of Call]])&lt;=6, YEAR(calls[[#This Row],[Date of Call]]), YEAR(calls[[#This Row],[Date of Call]])+1)</f>
        <v>2024</v>
      </c>
      <c r="M731" t="str">
        <f>TEXT(calls[[#This Row],[Date of Call]],"DDDD")</f>
        <v>الثلاثاء</v>
      </c>
      <c r="N731" t="str" cm="1">
        <f t="array" ref="N731">_xlfn.IFS(calls[[#This Row],[Duration]]&lt;=10,"Under 10 mins", calls[[#This Row],[Duration]]&lt;=30, "10 to 30 mins", calls[[#This Row],[Duration]]&lt;=60, "30 to 60 mins", calls[[#This Row],[Duration]]&lt;=120, "1 to 2 hours", TRUE, "More than 2 hours")</f>
        <v>1 to 2 hours</v>
      </c>
      <c r="O731">
        <f>ROUND(calls[[#This Row],[Satisfaction Rating]],0)</f>
        <v>4</v>
      </c>
    </row>
    <row r="732" spans="2:15" x14ac:dyDescent="0.25">
      <c r="B732" t="s">
        <v>753</v>
      </c>
      <c r="C732" t="s">
        <v>17</v>
      </c>
      <c r="D732">
        <f>VLOOKUP(C732,customers[],3,0)</f>
        <v>30</v>
      </c>
      <c r="E732" t="str">
        <f>VLOOKUP(C732,customers[],2,0)</f>
        <v>Female</v>
      </c>
      <c r="F732" t="str">
        <f>VLOOKUP(C732,customers[],4,0)</f>
        <v>Cleveland</v>
      </c>
      <c r="G732">
        <v>8</v>
      </c>
      <c r="H732" s="17" t="s">
        <v>8</v>
      </c>
      <c r="I732" s="18">
        <v>45181</v>
      </c>
      <c r="J732">
        <v>31</v>
      </c>
      <c r="K732">
        <v>3.9</v>
      </c>
      <c r="L732">
        <f>IF(MONTH(calls[[#This Row],[Date of Call]])&lt;=6, YEAR(calls[[#This Row],[Date of Call]]), YEAR(calls[[#This Row],[Date of Call]])+1)</f>
        <v>2024</v>
      </c>
      <c r="M732" t="str">
        <f>TEXT(calls[[#This Row],[Date of Call]],"DDDD")</f>
        <v>الثلاثاء</v>
      </c>
      <c r="N732" t="str" cm="1">
        <f t="array" ref="N732">_xlfn.IFS(calls[[#This Row],[Duration]]&lt;=10,"Under 10 mins", calls[[#This Row],[Duration]]&lt;=30, "10 to 30 mins", calls[[#This Row],[Duration]]&lt;=60, "30 to 60 mins", calls[[#This Row],[Duration]]&lt;=120, "1 to 2 hours", TRUE, "More than 2 hours")</f>
        <v>Under 10 mins</v>
      </c>
      <c r="O732">
        <f>ROUND(calls[[#This Row],[Satisfaction Rating]],0)</f>
        <v>4</v>
      </c>
    </row>
    <row r="733" spans="2:15" x14ac:dyDescent="0.25">
      <c r="B733" t="s">
        <v>754</v>
      </c>
      <c r="C733" t="s">
        <v>22</v>
      </c>
      <c r="D733">
        <f>VLOOKUP(C733,customers[],3,0)</f>
        <v>37</v>
      </c>
      <c r="E733" t="str">
        <f>VLOOKUP(C733,customers[],2,0)</f>
        <v>Male</v>
      </c>
      <c r="F733" t="str">
        <f>VLOOKUP(C733,customers[],4,0)</f>
        <v>Columbus</v>
      </c>
      <c r="G733">
        <v>76</v>
      </c>
      <c r="H733" s="17" t="s">
        <v>5</v>
      </c>
      <c r="I733" s="18">
        <v>45182</v>
      </c>
      <c r="J733">
        <v>108</v>
      </c>
      <c r="K733">
        <v>4.9000000000000004</v>
      </c>
      <c r="L733">
        <f>IF(MONTH(calls[[#This Row],[Date of Call]])&lt;=6, YEAR(calls[[#This Row],[Date of Call]]), YEAR(calls[[#This Row],[Date of Call]])+1)</f>
        <v>2024</v>
      </c>
      <c r="M733" t="str">
        <f>TEXT(calls[[#This Row],[Date of Call]],"DDDD")</f>
        <v>الأربعاء</v>
      </c>
      <c r="N733" t="str" cm="1">
        <f t="array" ref="N733">_xlfn.IFS(calls[[#This Row],[Duration]]&lt;=10,"Under 10 mins", calls[[#This Row],[Duration]]&lt;=30, "10 to 30 mins", calls[[#This Row],[Duration]]&lt;=60, "30 to 60 mins", calls[[#This Row],[Duration]]&lt;=120, "1 to 2 hours", TRUE, "More than 2 hours")</f>
        <v>1 to 2 hours</v>
      </c>
      <c r="O733">
        <f>ROUND(calls[[#This Row],[Satisfaction Rating]],0)</f>
        <v>5</v>
      </c>
    </row>
    <row r="734" spans="2:15" x14ac:dyDescent="0.25">
      <c r="B734" t="s">
        <v>755</v>
      </c>
      <c r="C734" t="s">
        <v>19</v>
      </c>
      <c r="D734">
        <f>VLOOKUP(C734,customers[],3,0)</f>
        <v>26</v>
      </c>
      <c r="E734" t="str">
        <f>VLOOKUP(C734,customers[],2,0)</f>
        <v>Male</v>
      </c>
      <c r="F734" t="str">
        <f>VLOOKUP(C734,customers[],4,0)</f>
        <v>Cincinnati</v>
      </c>
      <c r="G734">
        <v>110</v>
      </c>
      <c r="H734" s="17" t="s">
        <v>5</v>
      </c>
      <c r="I734" s="18">
        <v>45182</v>
      </c>
      <c r="J734">
        <v>180</v>
      </c>
      <c r="K734">
        <v>4.2</v>
      </c>
      <c r="L734">
        <f>IF(MONTH(calls[[#This Row],[Date of Call]])&lt;=6, YEAR(calls[[#This Row],[Date of Call]]), YEAR(calls[[#This Row],[Date of Call]])+1)</f>
        <v>2024</v>
      </c>
      <c r="M734" t="str">
        <f>TEXT(calls[[#This Row],[Date of Call]],"DDDD")</f>
        <v>الأربعاء</v>
      </c>
      <c r="N734" t="str" cm="1">
        <f t="array" ref="N734">_xlfn.IFS(calls[[#This Row],[Duration]]&lt;=10,"Under 10 mins", calls[[#This Row],[Duration]]&lt;=30, "10 to 30 mins", calls[[#This Row],[Duration]]&lt;=60, "30 to 60 mins", calls[[#This Row],[Duration]]&lt;=120, "1 to 2 hours", TRUE, "More than 2 hours")</f>
        <v>1 to 2 hours</v>
      </c>
      <c r="O734">
        <f>ROUND(calls[[#This Row],[Satisfaction Rating]],0)</f>
        <v>4</v>
      </c>
    </row>
    <row r="735" spans="2:15" x14ac:dyDescent="0.25">
      <c r="B735" t="s">
        <v>756</v>
      </c>
      <c r="C735" t="s">
        <v>13</v>
      </c>
      <c r="D735">
        <f>VLOOKUP(C735,customers[],3,0)</f>
        <v>37</v>
      </c>
      <c r="E735" t="str">
        <f>VLOOKUP(C735,customers[],2,0)</f>
        <v>Female</v>
      </c>
      <c r="F735" t="str">
        <f>VLOOKUP(C735,customers[],4,0)</f>
        <v>Cleveland</v>
      </c>
      <c r="G735">
        <v>50</v>
      </c>
      <c r="H735" s="17" t="s">
        <v>10</v>
      </c>
      <c r="I735" s="18">
        <v>45183</v>
      </c>
      <c r="J735">
        <v>124</v>
      </c>
      <c r="K735">
        <v>4</v>
      </c>
      <c r="L735">
        <f>IF(MONTH(calls[[#This Row],[Date of Call]])&lt;=6, YEAR(calls[[#This Row],[Date of Call]]), YEAR(calls[[#This Row],[Date of Call]])+1)</f>
        <v>2024</v>
      </c>
      <c r="M735" t="str">
        <f>TEXT(calls[[#This Row],[Date of Call]],"DDDD")</f>
        <v>الخميس</v>
      </c>
      <c r="N735" t="str" cm="1">
        <f t="array" ref="N735">_xlfn.IFS(calls[[#This Row],[Duration]]&lt;=10,"Under 10 mins", calls[[#This Row],[Duration]]&lt;=30, "10 to 30 mins", calls[[#This Row],[Duration]]&lt;=60, "30 to 60 mins", calls[[#This Row],[Duration]]&lt;=120, "1 to 2 hours", TRUE, "More than 2 hours")</f>
        <v>30 to 60 mins</v>
      </c>
      <c r="O735">
        <f>ROUND(calls[[#This Row],[Satisfaction Rating]],0)</f>
        <v>4</v>
      </c>
    </row>
    <row r="736" spans="2:15" x14ac:dyDescent="0.25">
      <c r="B736" t="s">
        <v>757</v>
      </c>
      <c r="C736" t="s">
        <v>14</v>
      </c>
      <c r="D736">
        <f>VLOOKUP(C736,customers[],3,0)</f>
        <v>22</v>
      </c>
      <c r="E736" t="str">
        <f>VLOOKUP(C736,customers[],2,0)</f>
        <v>Female</v>
      </c>
      <c r="F736" t="str">
        <f>VLOOKUP(C736,customers[],4,0)</f>
        <v>Cleveland</v>
      </c>
      <c r="G736">
        <v>78</v>
      </c>
      <c r="H736" s="17" t="s">
        <v>10</v>
      </c>
      <c r="I736" s="18">
        <v>45183</v>
      </c>
      <c r="J736">
        <v>23</v>
      </c>
      <c r="K736">
        <v>4.2</v>
      </c>
      <c r="L736">
        <f>IF(MONTH(calls[[#This Row],[Date of Call]])&lt;=6, YEAR(calls[[#This Row],[Date of Call]]), YEAR(calls[[#This Row],[Date of Call]])+1)</f>
        <v>2024</v>
      </c>
      <c r="M736" t="str">
        <f>TEXT(calls[[#This Row],[Date of Call]],"DDDD")</f>
        <v>الخميس</v>
      </c>
      <c r="N736" t="str" cm="1">
        <f t="array" ref="N736">_xlfn.IFS(calls[[#This Row],[Duration]]&lt;=10,"Under 10 mins", calls[[#This Row],[Duration]]&lt;=30, "10 to 30 mins", calls[[#This Row],[Duration]]&lt;=60, "30 to 60 mins", calls[[#This Row],[Duration]]&lt;=120, "1 to 2 hours", TRUE, "More than 2 hours")</f>
        <v>1 to 2 hours</v>
      </c>
      <c r="O736">
        <f>ROUND(calls[[#This Row],[Satisfaction Rating]],0)</f>
        <v>4</v>
      </c>
    </row>
    <row r="737" spans="2:15" x14ac:dyDescent="0.25">
      <c r="B737" t="s">
        <v>758</v>
      </c>
      <c r="C737" t="s">
        <v>15</v>
      </c>
      <c r="D737">
        <f>VLOOKUP(C737,customers[],3,0)</f>
        <v>28</v>
      </c>
      <c r="E737" t="str">
        <f>VLOOKUP(C737,customers[],2,0)</f>
        <v>Female</v>
      </c>
      <c r="F737" t="str">
        <f>VLOOKUP(C737,customers[],4,0)</f>
        <v>Cincinnati</v>
      </c>
      <c r="G737">
        <v>59</v>
      </c>
      <c r="H737" s="17" t="s">
        <v>9</v>
      </c>
      <c r="I737" s="18">
        <v>45184</v>
      </c>
      <c r="J737">
        <v>24</v>
      </c>
      <c r="K737">
        <v>4.8</v>
      </c>
      <c r="L737">
        <f>IF(MONTH(calls[[#This Row],[Date of Call]])&lt;=6, YEAR(calls[[#This Row],[Date of Call]]), YEAR(calls[[#This Row],[Date of Call]])+1)</f>
        <v>2024</v>
      </c>
      <c r="M737" t="str">
        <f>TEXT(calls[[#This Row],[Date of Call]],"DDDD")</f>
        <v>الجمعة</v>
      </c>
      <c r="N737" t="str" cm="1">
        <f t="array" ref="N737">_xlfn.IFS(calls[[#This Row],[Duration]]&lt;=10,"Under 10 mins", calls[[#This Row],[Duration]]&lt;=30, "10 to 30 mins", calls[[#This Row],[Duration]]&lt;=60, "30 to 60 mins", calls[[#This Row],[Duration]]&lt;=120, "1 to 2 hours", TRUE, "More than 2 hours")</f>
        <v>30 to 60 mins</v>
      </c>
      <c r="O737">
        <f>ROUND(calls[[#This Row],[Satisfaction Rating]],0)</f>
        <v>5</v>
      </c>
    </row>
    <row r="738" spans="2:15" x14ac:dyDescent="0.25">
      <c r="B738" t="s">
        <v>759</v>
      </c>
      <c r="C738" t="s">
        <v>14</v>
      </c>
      <c r="D738">
        <f>VLOOKUP(C738,customers[],3,0)</f>
        <v>22</v>
      </c>
      <c r="E738" t="str">
        <f>VLOOKUP(C738,customers[],2,0)</f>
        <v>Female</v>
      </c>
      <c r="F738" t="str">
        <f>VLOOKUP(C738,customers[],4,0)</f>
        <v>Cleveland</v>
      </c>
      <c r="G738">
        <v>126</v>
      </c>
      <c r="H738" s="17" t="s">
        <v>8</v>
      </c>
      <c r="I738" s="18">
        <v>45185</v>
      </c>
      <c r="J738">
        <v>52</v>
      </c>
      <c r="K738">
        <v>1.1000000000000001</v>
      </c>
      <c r="L738">
        <f>IF(MONTH(calls[[#This Row],[Date of Call]])&lt;=6, YEAR(calls[[#This Row],[Date of Call]]), YEAR(calls[[#This Row],[Date of Call]])+1)</f>
        <v>2024</v>
      </c>
      <c r="M738" t="str">
        <f>TEXT(calls[[#This Row],[Date of Call]],"DDDD")</f>
        <v>السبت</v>
      </c>
      <c r="N738" t="str" cm="1">
        <f t="array" ref="N738">_xlfn.IFS(calls[[#This Row],[Duration]]&lt;=10,"Under 10 mins", calls[[#This Row],[Duration]]&lt;=30, "10 to 30 mins", calls[[#This Row],[Duration]]&lt;=60, "30 to 60 mins", calls[[#This Row],[Duration]]&lt;=120, "1 to 2 hours", TRUE, "More than 2 hours")</f>
        <v>More than 2 hours</v>
      </c>
      <c r="O738">
        <f>ROUND(calls[[#This Row],[Satisfaction Rating]],0)</f>
        <v>1</v>
      </c>
    </row>
    <row r="739" spans="2:15" x14ac:dyDescent="0.25">
      <c r="B739" t="s">
        <v>760</v>
      </c>
      <c r="C739" t="s">
        <v>22</v>
      </c>
      <c r="D739">
        <f>VLOOKUP(C739,customers[],3,0)</f>
        <v>37</v>
      </c>
      <c r="E739" t="str">
        <f>VLOOKUP(C739,customers[],2,0)</f>
        <v>Male</v>
      </c>
      <c r="F739" t="str">
        <f>VLOOKUP(C739,customers[],4,0)</f>
        <v>Columbus</v>
      </c>
      <c r="G739">
        <v>43</v>
      </c>
      <c r="H739" s="17" t="s">
        <v>9</v>
      </c>
      <c r="I739" s="18">
        <v>45186</v>
      </c>
      <c r="J739">
        <v>168</v>
      </c>
      <c r="K739">
        <v>4</v>
      </c>
      <c r="L739">
        <f>IF(MONTH(calls[[#This Row],[Date of Call]])&lt;=6, YEAR(calls[[#This Row],[Date of Call]]), YEAR(calls[[#This Row],[Date of Call]])+1)</f>
        <v>2024</v>
      </c>
      <c r="M739" t="str">
        <f>TEXT(calls[[#This Row],[Date of Call]],"DDDD")</f>
        <v>الأحد</v>
      </c>
      <c r="N739" t="str" cm="1">
        <f t="array" ref="N739">_xlfn.IFS(calls[[#This Row],[Duration]]&lt;=10,"Under 10 mins", calls[[#This Row],[Duration]]&lt;=30, "10 to 30 mins", calls[[#This Row],[Duration]]&lt;=60, "30 to 60 mins", calls[[#This Row],[Duration]]&lt;=120, "1 to 2 hours", TRUE, "More than 2 hours")</f>
        <v>30 to 60 mins</v>
      </c>
      <c r="O739">
        <f>ROUND(calls[[#This Row],[Satisfaction Rating]],0)</f>
        <v>4</v>
      </c>
    </row>
    <row r="740" spans="2:15" x14ac:dyDescent="0.25">
      <c r="B740" t="s">
        <v>761</v>
      </c>
      <c r="C740" t="s">
        <v>16</v>
      </c>
      <c r="D740">
        <f>VLOOKUP(C740,customers[],3,0)</f>
        <v>41</v>
      </c>
      <c r="E740" t="str">
        <f>VLOOKUP(C740,customers[],2,0)</f>
        <v>Male</v>
      </c>
      <c r="F740" t="str">
        <f>VLOOKUP(C740,customers[],4,0)</f>
        <v>Columbus</v>
      </c>
      <c r="G740">
        <v>79</v>
      </c>
      <c r="H740" s="17" t="s">
        <v>5</v>
      </c>
      <c r="I740" s="18">
        <v>45188</v>
      </c>
      <c r="J740">
        <v>125</v>
      </c>
      <c r="K740">
        <v>4.8</v>
      </c>
      <c r="L740">
        <f>IF(MONTH(calls[[#This Row],[Date of Call]])&lt;=6, YEAR(calls[[#This Row],[Date of Call]]), YEAR(calls[[#This Row],[Date of Call]])+1)</f>
        <v>2024</v>
      </c>
      <c r="M740" t="str">
        <f>TEXT(calls[[#This Row],[Date of Call]],"DDDD")</f>
        <v>الثلاثاء</v>
      </c>
      <c r="N740" t="str" cm="1">
        <f t="array" ref="N740">_xlfn.IFS(calls[[#This Row],[Duration]]&lt;=10,"Under 10 mins", calls[[#This Row],[Duration]]&lt;=30, "10 to 30 mins", calls[[#This Row],[Duration]]&lt;=60, "30 to 60 mins", calls[[#This Row],[Duration]]&lt;=120, "1 to 2 hours", TRUE, "More than 2 hours")</f>
        <v>1 to 2 hours</v>
      </c>
      <c r="O740">
        <f>ROUND(calls[[#This Row],[Satisfaction Rating]],0)</f>
        <v>5</v>
      </c>
    </row>
    <row r="741" spans="2:15" x14ac:dyDescent="0.25">
      <c r="B741" t="s">
        <v>762</v>
      </c>
      <c r="C741" t="s">
        <v>19</v>
      </c>
      <c r="D741">
        <f>VLOOKUP(C741,customers[],3,0)</f>
        <v>26</v>
      </c>
      <c r="E741" t="str">
        <f>VLOOKUP(C741,customers[],2,0)</f>
        <v>Male</v>
      </c>
      <c r="F741" t="str">
        <f>VLOOKUP(C741,customers[],4,0)</f>
        <v>Cincinnati</v>
      </c>
      <c r="G741">
        <v>71</v>
      </c>
      <c r="H741" s="17" t="s">
        <v>9</v>
      </c>
      <c r="I741" s="18">
        <v>45189</v>
      </c>
      <c r="J741">
        <v>50</v>
      </c>
      <c r="K741">
        <v>4.2</v>
      </c>
      <c r="L741">
        <f>IF(MONTH(calls[[#This Row],[Date of Call]])&lt;=6, YEAR(calls[[#This Row],[Date of Call]]), YEAR(calls[[#This Row],[Date of Call]])+1)</f>
        <v>2024</v>
      </c>
      <c r="M741" t="str">
        <f>TEXT(calls[[#This Row],[Date of Call]],"DDDD")</f>
        <v>الأربعاء</v>
      </c>
      <c r="N741" t="str" cm="1">
        <f t="array" ref="N741">_xlfn.IFS(calls[[#This Row],[Duration]]&lt;=10,"Under 10 mins", calls[[#This Row],[Duration]]&lt;=30, "10 to 30 mins", calls[[#This Row],[Duration]]&lt;=60, "30 to 60 mins", calls[[#This Row],[Duration]]&lt;=120, "1 to 2 hours", TRUE, "More than 2 hours")</f>
        <v>1 to 2 hours</v>
      </c>
      <c r="O741">
        <f>ROUND(calls[[#This Row],[Satisfaction Rating]],0)</f>
        <v>4</v>
      </c>
    </row>
    <row r="742" spans="2:15" x14ac:dyDescent="0.25">
      <c r="B742" t="s">
        <v>763</v>
      </c>
      <c r="C742" t="s">
        <v>21</v>
      </c>
      <c r="D742">
        <f>VLOOKUP(C742,customers[],3,0)</f>
        <v>25</v>
      </c>
      <c r="E742" t="str">
        <f>VLOOKUP(C742,customers[],2,0)</f>
        <v>Female</v>
      </c>
      <c r="F742" t="str">
        <f>VLOOKUP(C742,customers[],4,0)</f>
        <v>Columbus</v>
      </c>
      <c r="G742">
        <v>94</v>
      </c>
      <c r="H742" s="17" t="s">
        <v>8</v>
      </c>
      <c r="I742" s="18">
        <v>45190</v>
      </c>
      <c r="J742">
        <v>220</v>
      </c>
      <c r="K742">
        <v>4.5999999999999996</v>
      </c>
      <c r="L742">
        <f>IF(MONTH(calls[[#This Row],[Date of Call]])&lt;=6, YEAR(calls[[#This Row],[Date of Call]]), YEAR(calls[[#This Row],[Date of Call]])+1)</f>
        <v>2024</v>
      </c>
      <c r="M742" t="str">
        <f>TEXT(calls[[#This Row],[Date of Call]],"DDDD")</f>
        <v>الخميس</v>
      </c>
      <c r="N742" t="str" cm="1">
        <f t="array" ref="N742">_xlfn.IFS(calls[[#This Row],[Duration]]&lt;=10,"Under 10 mins", calls[[#This Row],[Duration]]&lt;=30, "10 to 30 mins", calls[[#This Row],[Duration]]&lt;=60, "30 to 60 mins", calls[[#This Row],[Duration]]&lt;=120, "1 to 2 hours", TRUE, "More than 2 hours")</f>
        <v>1 to 2 hours</v>
      </c>
      <c r="O742">
        <f>ROUND(calls[[#This Row],[Satisfaction Rating]],0)</f>
        <v>5</v>
      </c>
    </row>
    <row r="743" spans="2:15" x14ac:dyDescent="0.25">
      <c r="B743" t="s">
        <v>764</v>
      </c>
      <c r="C743" t="s">
        <v>17</v>
      </c>
      <c r="D743">
        <f>VLOOKUP(C743,customers[],3,0)</f>
        <v>30</v>
      </c>
      <c r="E743" t="str">
        <f>VLOOKUP(C743,customers[],2,0)</f>
        <v>Female</v>
      </c>
      <c r="F743" t="str">
        <f>VLOOKUP(C743,customers[],4,0)</f>
        <v>Cleveland</v>
      </c>
      <c r="G743">
        <v>108</v>
      </c>
      <c r="H743" s="17" t="s">
        <v>9</v>
      </c>
      <c r="I743" s="18">
        <v>45190</v>
      </c>
      <c r="J743">
        <v>180</v>
      </c>
      <c r="K743">
        <v>4</v>
      </c>
      <c r="L743">
        <f>IF(MONTH(calls[[#This Row],[Date of Call]])&lt;=6, YEAR(calls[[#This Row],[Date of Call]]), YEAR(calls[[#This Row],[Date of Call]])+1)</f>
        <v>2024</v>
      </c>
      <c r="M743" t="str">
        <f>TEXT(calls[[#This Row],[Date of Call]],"DDDD")</f>
        <v>الخميس</v>
      </c>
      <c r="N743" t="str" cm="1">
        <f t="array" ref="N743">_xlfn.IFS(calls[[#This Row],[Duration]]&lt;=10,"Under 10 mins", calls[[#This Row],[Duration]]&lt;=30, "10 to 30 mins", calls[[#This Row],[Duration]]&lt;=60, "30 to 60 mins", calls[[#This Row],[Duration]]&lt;=120, "1 to 2 hours", TRUE, "More than 2 hours")</f>
        <v>1 to 2 hours</v>
      </c>
      <c r="O743">
        <f>ROUND(calls[[#This Row],[Satisfaction Rating]],0)</f>
        <v>4</v>
      </c>
    </row>
    <row r="744" spans="2:15" x14ac:dyDescent="0.25">
      <c r="B744" t="s">
        <v>765</v>
      </c>
      <c r="C744" t="s">
        <v>22</v>
      </c>
      <c r="D744">
        <f>VLOOKUP(C744,customers[],3,0)</f>
        <v>37</v>
      </c>
      <c r="E744" t="str">
        <f>VLOOKUP(C744,customers[],2,0)</f>
        <v>Male</v>
      </c>
      <c r="F744" t="str">
        <f>VLOOKUP(C744,customers[],4,0)</f>
        <v>Columbus</v>
      </c>
      <c r="G744">
        <v>76</v>
      </c>
      <c r="H744" s="17" t="s">
        <v>8</v>
      </c>
      <c r="I744" s="18">
        <v>45190</v>
      </c>
      <c r="J744">
        <v>110</v>
      </c>
      <c r="K744">
        <v>3.9</v>
      </c>
      <c r="L744">
        <f>IF(MONTH(calls[[#This Row],[Date of Call]])&lt;=6, YEAR(calls[[#This Row],[Date of Call]]), YEAR(calls[[#This Row],[Date of Call]])+1)</f>
        <v>2024</v>
      </c>
      <c r="M744" t="str">
        <f>TEXT(calls[[#This Row],[Date of Call]],"DDDD")</f>
        <v>الخميس</v>
      </c>
      <c r="N744" t="str" cm="1">
        <f t="array" ref="N744">_xlfn.IFS(calls[[#This Row],[Duration]]&lt;=10,"Under 10 mins", calls[[#This Row],[Duration]]&lt;=30, "10 to 30 mins", calls[[#This Row],[Duration]]&lt;=60, "30 to 60 mins", calls[[#This Row],[Duration]]&lt;=120, "1 to 2 hours", TRUE, "More than 2 hours")</f>
        <v>1 to 2 hours</v>
      </c>
      <c r="O744">
        <f>ROUND(calls[[#This Row],[Satisfaction Rating]],0)</f>
        <v>4</v>
      </c>
    </row>
    <row r="745" spans="2:15" x14ac:dyDescent="0.25">
      <c r="B745" t="s">
        <v>766</v>
      </c>
      <c r="C745" t="s">
        <v>15</v>
      </c>
      <c r="D745">
        <f>VLOOKUP(C745,customers[],3,0)</f>
        <v>28</v>
      </c>
      <c r="E745" t="str">
        <f>VLOOKUP(C745,customers[],2,0)</f>
        <v>Female</v>
      </c>
      <c r="F745" t="str">
        <f>VLOOKUP(C745,customers[],4,0)</f>
        <v>Cincinnati</v>
      </c>
      <c r="G745">
        <v>136</v>
      </c>
      <c r="H745" s="17" t="s">
        <v>9</v>
      </c>
      <c r="I745" s="18">
        <v>45190</v>
      </c>
      <c r="J745">
        <v>36</v>
      </c>
      <c r="K745">
        <v>2.8</v>
      </c>
      <c r="L745">
        <f>IF(MONTH(calls[[#This Row],[Date of Call]])&lt;=6, YEAR(calls[[#This Row],[Date of Call]]), YEAR(calls[[#This Row],[Date of Call]])+1)</f>
        <v>2024</v>
      </c>
      <c r="M745" t="str">
        <f>TEXT(calls[[#This Row],[Date of Call]],"DDDD")</f>
        <v>الخميس</v>
      </c>
      <c r="N745" t="str" cm="1">
        <f t="array" ref="N745">_xlfn.IFS(calls[[#This Row],[Duration]]&lt;=10,"Under 10 mins", calls[[#This Row],[Duration]]&lt;=30, "10 to 30 mins", calls[[#This Row],[Duration]]&lt;=60, "30 to 60 mins", calls[[#This Row],[Duration]]&lt;=120, "1 to 2 hours", TRUE, "More than 2 hours")</f>
        <v>More than 2 hours</v>
      </c>
      <c r="O745">
        <f>ROUND(calls[[#This Row],[Satisfaction Rating]],0)</f>
        <v>3</v>
      </c>
    </row>
    <row r="746" spans="2:15" x14ac:dyDescent="0.25">
      <c r="B746" t="s">
        <v>767</v>
      </c>
      <c r="C746" t="s">
        <v>11</v>
      </c>
      <c r="D746">
        <f>VLOOKUP(C746,customers[],3,0)</f>
        <v>36</v>
      </c>
      <c r="E746" t="str">
        <f>VLOOKUP(C746,customers[],2,0)</f>
        <v>Male</v>
      </c>
      <c r="F746" t="str">
        <f>VLOOKUP(C746,customers[],4,0)</f>
        <v>Cincinnati</v>
      </c>
      <c r="G746">
        <v>129</v>
      </c>
      <c r="H746" s="17" t="s">
        <v>10</v>
      </c>
      <c r="I746" s="18">
        <v>45191</v>
      </c>
      <c r="J746">
        <v>93</v>
      </c>
      <c r="K746">
        <v>4.7</v>
      </c>
      <c r="L746">
        <f>IF(MONTH(calls[[#This Row],[Date of Call]])&lt;=6, YEAR(calls[[#This Row],[Date of Call]]), YEAR(calls[[#This Row],[Date of Call]])+1)</f>
        <v>2024</v>
      </c>
      <c r="M746" t="str">
        <f>TEXT(calls[[#This Row],[Date of Call]],"DDDD")</f>
        <v>الجمعة</v>
      </c>
      <c r="N746" t="str" cm="1">
        <f t="array" ref="N746">_xlfn.IFS(calls[[#This Row],[Duration]]&lt;=10,"Under 10 mins", calls[[#This Row],[Duration]]&lt;=30, "10 to 30 mins", calls[[#This Row],[Duration]]&lt;=60, "30 to 60 mins", calls[[#This Row],[Duration]]&lt;=120, "1 to 2 hours", TRUE, "More than 2 hours")</f>
        <v>More than 2 hours</v>
      </c>
      <c r="O746">
        <f>ROUND(calls[[#This Row],[Satisfaction Rating]],0)</f>
        <v>5</v>
      </c>
    </row>
    <row r="747" spans="2:15" x14ac:dyDescent="0.25">
      <c r="B747" t="s">
        <v>768</v>
      </c>
      <c r="C747" t="s">
        <v>17</v>
      </c>
      <c r="D747">
        <f>VLOOKUP(C747,customers[],3,0)</f>
        <v>30</v>
      </c>
      <c r="E747" t="str">
        <f>VLOOKUP(C747,customers[],2,0)</f>
        <v>Female</v>
      </c>
      <c r="F747" t="str">
        <f>VLOOKUP(C747,customers[],4,0)</f>
        <v>Cleveland</v>
      </c>
      <c r="G747">
        <v>120</v>
      </c>
      <c r="H747" s="17" t="s">
        <v>9</v>
      </c>
      <c r="I747" s="18">
        <v>45191</v>
      </c>
      <c r="J747">
        <v>38</v>
      </c>
      <c r="K747">
        <v>4.2</v>
      </c>
      <c r="L747">
        <f>IF(MONTH(calls[[#This Row],[Date of Call]])&lt;=6, YEAR(calls[[#This Row],[Date of Call]]), YEAR(calls[[#This Row],[Date of Call]])+1)</f>
        <v>2024</v>
      </c>
      <c r="M747" t="str">
        <f>TEXT(calls[[#This Row],[Date of Call]],"DDDD")</f>
        <v>الجمعة</v>
      </c>
      <c r="N747" t="str" cm="1">
        <f t="array" ref="N747">_xlfn.IFS(calls[[#This Row],[Duration]]&lt;=10,"Under 10 mins", calls[[#This Row],[Duration]]&lt;=30, "10 to 30 mins", calls[[#This Row],[Duration]]&lt;=60, "30 to 60 mins", calls[[#This Row],[Duration]]&lt;=120, "1 to 2 hours", TRUE, "More than 2 hours")</f>
        <v>1 to 2 hours</v>
      </c>
      <c r="O747">
        <f>ROUND(calls[[#This Row],[Satisfaction Rating]],0)</f>
        <v>4</v>
      </c>
    </row>
    <row r="748" spans="2:15" x14ac:dyDescent="0.25">
      <c r="B748" t="s">
        <v>769</v>
      </c>
      <c r="C748" t="s">
        <v>22</v>
      </c>
      <c r="D748">
        <f>VLOOKUP(C748,customers[],3,0)</f>
        <v>37</v>
      </c>
      <c r="E748" t="str">
        <f>VLOOKUP(C748,customers[],2,0)</f>
        <v>Male</v>
      </c>
      <c r="F748" t="str">
        <f>VLOOKUP(C748,customers[],4,0)</f>
        <v>Columbus</v>
      </c>
      <c r="G748">
        <v>108</v>
      </c>
      <c r="H748" s="17" t="s">
        <v>10</v>
      </c>
      <c r="I748" s="18">
        <v>45192</v>
      </c>
      <c r="J748">
        <v>66</v>
      </c>
      <c r="K748">
        <v>3.9</v>
      </c>
      <c r="L748">
        <f>IF(MONTH(calls[[#This Row],[Date of Call]])&lt;=6, YEAR(calls[[#This Row],[Date of Call]]), YEAR(calls[[#This Row],[Date of Call]])+1)</f>
        <v>2024</v>
      </c>
      <c r="M748" t="str">
        <f>TEXT(calls[[#This Row],[Date of Call]],"DDDD")</f>
        <v>السبت</v>
      </c>
      <c r="N748" t="str" cm="1">
        <f t="array" ref="N748">_xlfn.IFS(calls[[#This Row],[Duration]]&lt;=10,"Under 10 mins", calls[[#This Row],[Duration]]&lt;=30, "10 to 30 mins", calls[[#This Row],[Duration]]&lt;=60, "30 to 60 mins", calls[[#This Row],[Duration]]&lt;=120, "1 to 2 hours", TRUE, "More than 2 hours")</f>
        <v>1 to 2 hours</v>
      </c>
      <c r="O748">
        <f>ROUND(calls[[#This Row],[Satisfaction Rating]],0)</f>
        <v>4</v>
      </c>
    </row>
    <row r="749" spans="2:15" x14ac:dyDescent="0.25">
      <c r="B749" t="s">
        <v>770</v>
      </c>
      <c r="C749" t="s">
        <v>14</v>
      </c>
      <c r="D749">
        <f>VLOOKUP(C749,customers[],3,0)</f>
        <v>22</v>
      </c>
      <c r="E749" t="str">
        <f>VLOOKUP(C749,customers[],2,0)</f>
        <v>Female</v>
      </c>
      <c r="F749" t="str">
        <f>VLOOKUP(C749,customers[],4,0)</f>
        <v>Cleveland</v>
      </c>
      <c r="G749">
        <v>79</v>
      </c>
      <c r="H749" s="17" t="s">
        <v>9</v>
      </c>
      <c r="I749" s="18">
        <v>45192</v>
      </c>
      <c r="J749">
        <v>215</v>
      </c>
      <c r="K749">
        <v>4.5999999999999996</v>
      </c>
      <c r="L749">
        <f>IF(MONTH(calls[[#This Row],[Date of Call]])&lt;=6, YEAR(calls[[#This Row],[Date of Call]]), YEAR(calls[[#This Row],[Date of Call]])+1)</f>
        <v>2024</v>
      </c>
      <c r="M749" t="str">
        <f>TEXT(calls[[#This Row],[Date of Call]],"DDDD")</f>
        <v>السبت</v>
      </c>
      <c r="N749" t="str" cm="1">
        <f t="array" ref="N749">_xlfn.IFS(calls[[#This Row],[Duration]]&lt;=10,"Under 10 mins", calls[[#This Row],[Duration]]&lt;=30, "10 to 30 mins", calls[[#This Row],[Duration]]&lt;=60, "30 to 60 mins", calls[[#This Row],[Duration]]&lt;=120, "1 to 2 hours", TRUE, "More than 2 hours")</f>
        <v>1 to 2 hours</v>
      </c>
      <c r="O749">
        <f>ROUND(calls[[#This Row],[Satisfaction Rating]],0)</f>
        <v>5</v>
      </c>
    </row>
    <row r="750" spans="2:15" x14ac:dyDescent="0.25">
      <c r="B750" t="s">
        <v>771</v>
      </c>
      <c r="C750" t="s">
        <v>14</v>
      </c>
      <c r="D750">
        <f>VLOOKUP(C750,customers[],3,0)</f>
        <v>22</v>
      </c>
      <c r="E750" t="str">
        <f>VLOOKUP(C750,customers[],2,0)</f>
        <v>Female</v>
      </c>
      <c r="F750" t="str">
        <f>VLOOKUP(C750,customers[],4,0)</f>
        <v>Cleveland</v>
      </c>
      <c r="G750">
        <v>45</v>
      </c>
      <c r="H750" s="17" t="s">
        <v>10</v>
      </c>
      <c r="I750" s="18">
        <v>45192</v>
      </c>
      <c r="J750">
        <v>92</v>
      </c>
      <c r="K750">
        <v>4.3</v>
      </c>
      <c r="L750">
        <f>IF(MONTH(calls[[#This Row],[Date of Call]])&lt;=6, YEAR(calls[[#This Row],[Date of Call]]), YEAR(calls[[#This Row],[Date of Call]])+1)</f>
        <v>2024</v>
      </c>
      <c r="M750" t="str">
        <f>TEXT(calls[[#This Row],[Date of Call]],"DDDD")</f>
        <v>السبت</v>
      </c>
      <c r="N750" t="str" cm="1">
        <f t="array" ref="N750">_xlfn.IFS(calls[[#This Row],[Duration]]&lt;=10,"Under 10 mins", calls[[#This Row],[Duration]]&lt;=30, "10 to 30 mins", calls[[#This Row],[Duration]]&lt;=60, "30 to 60 mins", calls[[#This Row],[Duration]]&lt;=120, "1 to 2 hours", TRUE, "More than 2 hours")</f>
        <v>30 to 60 mins</v>
      </c>
      <c r="O750">
        <f>ROUND(calls[[#This Row],[Satisfaction Rating]],0)</f>
        <v>4</v>
      </c>
    </row>
    <row r="751" spans="2:15" x14ac:dyDescent="0.25">
      <c r="B751" t="s">
        <v>772</v>
      </c>
      <c r="C751" t="s">
        <v>7</v>
      </c>
      <c r="D751">
        <f>VLOOKUP(C751,customers[],3,0)</f>
        <v>30</v>
      </c>
      <c r="E751" t="str">
        <f>VLOOKUP(C751,customers[],2,0)</f>
        <v>Female</v>
      </c>
      <c r="F751" t="str">
        <f>VLOOKUP(C751,customers[],4,0)</f>
        <v>Cincinnati</v>
      </c>
      <c r="G751">
        <v>96</v>
      </c>
      <c r="H751" s="17" t="s">
        <v>9</v>
      </c>
      <c r="I751" s="18">
        <v>45192</v>
      </c>
      <c r="J751">
        <v>80</v>
      </c>
      <c r="K751">
        <v>3.6</v>
      </c>
      <c r="L751">
        <f>IF(MONTH(calls[[#This Row],[Date of Call]])&lt;=6, YEAR(calls[[#This Row],[Date of Call]]), YEAR(calls[[#This Row],[Date of Call]])+1)</f>
        <v>2024</v>
      </c>
      <c r="M751" t="str">
        <f>TEXT(calls[[#This Row],[Date of Call]],"DDDD")</f>
        <v>السبت</v>
      </c>
      <c r="N751" t="str" cm="1">
        <f t="array" ref="N751">_xlfn.IFS(calls[[#This Row],[Duration]]&lt;=10,"Under 10 mins", calls[[#This Row],[Duration]]&lt;=30, "10 to 30 mins", calls[[#This Row],[Duration]]&lt;=60, "30 to 60 mins", calls[[#This Row],[Duration]]&lt;=120, "1 to 2 hours", TRUE, "More than 2 hours")</f>
        <v>1 to 2 hours</v>
      </c>
      <c r="O751">
        <f>ROUND(calls[[#This Row],[Satisfaction Rating]],0)</f>
        <v>4</v>
      </c>
    </row>
    <row r="752" spans="2:15" x14ac:dyDescent="0.25">
      <c r="B752" t="s">
        <v>773</v>
      </c>
      <c r="C752" t="s">
        <v>7</v>
      </c>
      <c r="D752">
        <f>VLOOKUP(C752,customers[],3,0)</f>
        <v>30</v>
      </c>
      <c r="E752" t="str">
        <f>VLOOKUP(C752,customers[],2,0)</f>
        <v>Female</v>
      </c>
      <c r="F752" t="str">
        <f>VLOOKUP(C752,customers[],4,0)</f>
        <v>Cincinnati</v>
      </c>
      <c r="G752">
        <v>81</v>
      </c>
      <c r="H752" s="17" t="s">
        <v>9</v>
      </c>
      <c r="I752" s="18">
        <v>45193</v>
      </c>
      <c r="J752">
        <v>123</v>
      </c>
      <c r="K752">
        <v>4.9000000000000004</v>
      </c>
      <c r="L752">
        <f>IF(MONTH(calls[[#This Row],[Date of Call]])&lt;=6, YEAR(calls[[#This Row],[Date of Call]]), YEAR(calls[[#This Row],[Date of Call]])+1)</f>
        <v>2024</v>
      </c>
      <c r="M752" t="str">
        <f>TEXT(calls[[#This Row],[Date of Call]],"DDDD")</f>
        <v>الأحد</v>
      </c>
      <c r="N752" t="str" cm="1">
        <f t="array" ref="N752">_xlfn.IFS(calls[[#This Row],[Duration]]&lt;=10,"Under 10 mins", calls[[#This Row],[Duration]]&lt;=30, "10 to 30 mins", calls[[#This Row],[Duration]]&lt;=60, "30 to 60 mins", calls[[#This Row],[Duration]]&lt;=120, "1 to 2 hours", TRUE, "More than 2 hours")</f>
        <v>1 to 2 hours</v>
      </c>
      <c r="O752">
        <f>ROUND(calls[[#This Row],[Satisfaction Rating]],0)</f>
        <v>5</v>
      </c>
    </row>
    <row r="753" spans="2:15" x14ac:dyDescent="0.25">
      <c r="B753" t="s">
        <v>774</v>
      </c>
      <c r="C753" t="s">
        <v>15</v>
      </c>
      <c r="D753">
        <f>VLOOKUP(C753,customers[],3,0)</f>
        <v>28</v>
      </c>
      <c r="E753" t="str">
        <f>VLOOKUP(C753,customers[],2,0)</f>
        <v>Female</v>
      </c>
      <c r="F753" t="str">
        <f>VLOOKUP(C753,customers[],4,0)</f>
        <v>Cincinnati</v>
      </c>
      <c r="G753">
        <v>95</v>
      </c>
      <c r="H753" s="17" t="s">
        <v>12</v>
      </c>
      <c r="I753" s="18">
        <v>45193</v>
      </c>
      <c r="J753">
        <v>23</v>
      </c>
      <c r="K753">
        <v>2.4</v>
      </c>
      <c r="L753">
        <f>IF(MONTH(calls[[#This Row],[Date of Call]])&lt;=6, YEAR(calls[[#This Row],[Date of Call]]), YEAR(calls[[#This Row],[Date of Call]])+1)</f>
        <v>2024</v>
      </c>
      <c r="M753" t="str">
        <f>TEXT(calls[[#This Row],[Date of Call]],"DDDD")</f>
        <v>الأحد</v>
      </c>
      <c r="N753" t="str" cm="1">
        <f t="array" ref="N753">_xlfn.IFS(calls[[#This Row],[Duration]]&lt;=10,"Under 10 mins", calls[[#This Row],[Duration]]&lt;=30, "10 to 30 mins", calls[[#This Row],[Duration]]&lt;=60, "30 to 60 mins", calls[[#This Row],[Duration]]&lt;=120, "1 to 2 hours", TRUE, "More than 2 hours")</f>
        <v>1 to 2 hours</v>
      </c>
      <c r="O753">
        <f>ROUND(calls[[#This Row],[Satisfaction Rating]],0)</f>
        <v>2</v>
      </c>
    </row>
    <row r="754" spans="2:15" x14ac:dyDescent="0.25">
      <c r="B754" t="s">
        <v>775</v>
      </c>
      <c r="C754" t="s">
        <v>18</v>
      </c>
      <c r="D754">
        <f>VLOOKUP(C754,customers[],3,0)</f>
        <v>43</v>
      </c>
      <c r="E754" t="str">
        <f>VLOOKUP(C754,customers[],2,0)</f>
        <v>Female</v>
      </c>
      <c r="F754" t="str">
        <f>VLOOKUP(C754,customers[],4,0)</f>
        <v>Cleveland</v>
      </c>
      <c r="G754">
        <v>159</v>
      </c>
      <c r="H754" s="17" t="s">
        <v>8</v>
      </c>
      <c r="I754" s="18">
        <v>45193</v>
      </c>
      <c r="J754">
        <v>63</v>
      </c>
      <c r="K754">
        <v>4.2</v>
      </c>
      <c r="L754">
        <f>IF(MONTH(calls[[#This Row],[Date of Call]])&lt;=6, YEAR(calls[[#This Row],[Date of Call]]), YEAR(calls[[#This Row],[Date of Call]])+1)</f>
        <v>2024</v>
      </c>
      <c r="M754" t="str">
        <f>TEXT(calls[[#This Row],[Date of Call]],"DDDD")</f>
        <v>الأحد</v>
      </c>
      <c r="N754" t="str" cm="1">
        <f t="array" ref="N754">_xlfn.IFS(calls[[#This Row],[Duration]]&lt;=10,"Under 10 mins", calls[[#This Row],[Duration]]&lt;=30, "10 to 30 mins", calls[[#This Row],[Duration]]&lt;=60, "30 to 60 mins", calls[[#This Row],[Duration]]&lt;=120, "1 to 2 hours", TRUE, "More than 2 hours")</f>
        <v>More than 2 hours</v>
      </c>
      <c r="O754">
        <f>ROUND(calls[[#This Row],[Satisfaction Rating]],0)</f>
        <v>4</v>
      </c>
    </row>
    <row r="755" spans="2:15" x14ac:dyDescent="0.25">
      <c r="B755" t="s">
        <v>776</v>
      </c>
      <c r="C755" t="s">
        <v>4</v>
      </c>
      <c r="D755">
        <f>VLOOKUP(C755,customers[],3,0)</f>
        <v>42</v>
      </c>
      <c r="E755" t="str">
        <f>VLOOKUP(C755,customers[],2,0)</f>
        <v>Female</v>
      </c>
      <c r="F755" t="str">
        <f>VLOOKUP(C755,customers[],4,0)</f>
        <v>Cleveland</v>
      </c>
      <c r="G755">
        <v>109</v>
      </c>
      <c r="H755" s="17" t="s">
        <v>5</v>
      </c>
      <c r="I755" s="18">
        <v>45193</v>
      </c>
      <c r="J755">
        <v>52</v>
      </c>
      <c r="K755">
        <v>3.9</v>
      </c>
      <c r="L755">
        <f>IF(MONTH(calls[[#This Row],[Date of Call]])&lt;=6, YEAR(calls[[#This Row],[Date of Call]]), YEAR(calls[[#This Row],[Date of Call]])+1)</f>
        <v>2024</v>
      </c>
      <c r="M755" t="str">
        <f>TEXT(calls[[#This Row],[Date of Call]],"DDDD")</f>
        <v>الأحد</v>
      </c>
      <c r="N755" t="str" cm="1">
        <f t="array" ref="N755">_xlfn.IFS(calls[[#This Row],[Duration]]&lt;=10,"Under 10 mins", calls[[#This Row],[Duration]]&lt;=30, "10 to 30 mins", calls[[#This Row],[Duration]]&lt;=60, "30 to 60 mins", calls[[#This Row],[Duration]]&lt;=120, "1 to 2 hours", TRUE, "More than 2 hours")</f>
        <v>1 to 2 hours</v>
      </c>
      <c r="O755">
        <f>ROUND(calls[[#This Row],[Satisfaction Rating]],0)</f>
        <v>4</v>
      </c>
    </row>
    <row r="756" spans="2:15" x14ac:dyDescent="0.25">
      <c r="B756" t="s">
        <v>777</v>
      </c>
      <c r="C756" t="s">
        <v>14</v>
      </c>
      <c r="D756">
        <f>VLOOKUP(C756,customers[],3,0)</f>
        <v>22</v>
      </c>
      <c r="E756" t="str">
        <f>VLOOKUP(C756,customers[],2,0)</f>
        <v>Female</v>
      </c>
      <c r="F756" t="str">
        <f>VLOOKUP(C756,customers[],4,0)</f>
        <v>Cleveland</v>
      </c>
      <c r="G756">
        <v>107</v>
      </c>
      <c r="H756" s="17" t="s">
        <v>5</v>
      </c>
      <c r="I756" s="18">
        <v>45193</v>
      </c>
      <c r="J756">
        <v>60</v>
      </c>
      <c r="K756">
        <v>4.2</v>
      </c>
      <c r="L756">
        <f>IF(MONTH(calls[[#This Row],[Date of Call]])&lt;=6, YEAR(calls[[#This Row],[Date of Call]]), YEAR(calls[[#This Row],[Date of Call]])+1)</f>
        <v>2024</v>
      </c>
      <c r="M756" t="str">
        <f>TEXT(calls[[#This Row],[Date of Call]],"DDDD")</f>
        <v>الأحد</v>
      </c>
      <c r="N756" t="str" cm="1">
        <f t="array" ref="N756">_xlfn.IFS(calls[[#This Row],[Duration]]&lt;=10,"Under 10 mins", calls[[#This Row],[Duration]]&lt;=30, "10 to 30 mins", calls[[#This Row],[Duration]]&lt;=60, "30 to 60 mins", calls[[#This Row],[Duration]]&lt;=120, "1 to 2 hours", TRUE, "More than 2 hours")</f>
        <v>1 to 2 hours</v>
      </c>
      <c r="O756">
        <f>ROUND(calls[[#This Row],[Satisfaction Rating]],0)</f>
        <v>4</v>
      </c>
    </row>
    <row r="757" spans="2:15" x14ac:dyDescent="0.25">
      <c r="B757" t="s">
        <v>778</v>
      </c>
      <c r="C757" t="s">
        <v>7</v>
      </c>
      <c r="D757">
        <f>VLOOKUP(C757,customers[],3,0)</f>
        <v>30</v>
      </c>
      <c r="E757" t="str">
        <f>VLOOKUP(C757,customers[],2,0)</f>
        <v>Female</v>
      </c>
      <c r="F757" t="str">
        <f>VLOOKUP(C757,customers[],4,0)</f>
        <v>Cincinnati</v>
      </c>
      <c r="G757">
        <v>67</v>
      </c>
      <c r="H757" s="17" t="s">
        <v>10</v>
      </c>
      <c r="I757" s="18">
        <v>45194</v>
      </c>
      <c r="J757">
        <v>87</v>
      </c>
      <c r="K757">
        <v>3.9</v>
      </c>
      <c r="L757">
        <f>IF(MONTH(calls[[#This Row],[Date of Call]])&lt;=6, YEAR(calls[[#This Row],[Date of Call]]), YEAR(calls[[#This Row],[Date of Call]])+1)</f>
        <v>2024</v>
      </c>
      <c r="M757" t="str">
        <f>TEXT(calls[[#This Row],[Date of Call]],"DDDD")</f>
        <v>الإثنين</v>
      </c>
      <c r="N757" t="str" cm="1">
        <f t="array" ref="N757">_xlfn.IFS(calls[[#This Row],[Duration]]&lt;=10,"Under 10 mins", calls[[#This Row],[Duration]]&lt;=30, "10 to 30 mins", calls[[#This Row],[Duration]]&lt;=60, "30 to 60 mins", calls[[#This Row],[Duration]]&lt;=120, "1 to 2 hours", TRUE, "More than 2 hours")</f>
        <v>1 to 2 hours</v>
      </c>
      <c r="O757">
        <f>ROUND(calls[[#This Row],[Satisfaction Rating]],0)</f>
        <v>4</v>
      </c>
    </row>
    <row r="758" spans="2:15" x14ac:dyDescent="0.25">
      <c r="B758" t="s">
        <v>779</v>
      </c>
      <c r="C758" t="s">
        <v>23</v>
      </c>
      <c r="D758">
        <f>VLOOKUP(C758,customers[],3,0)</f>
        <v>31</v>
      </c>
      <c r="E758" t="str">
        <f>VLOOKUP(C758,customers[],2,0)</f>
        <v>Male</v>
      </c>
      <c r="F758" t="str">
        <f>VLOOKUP(C758,customers[],4,0)</f>
        <v>Cleveland</v>
      </c>
      <c r="G758">
        <v>96</v>
      </c>
      <c r="H758" s="17" t="s">
        <v>9</v>
      </c>
      <c r="I758" s="18">
        <v>45195</v>
      </c>
      <c r="J758">
        <v>42</v>
      </c>
      <c r="K758">
        <v>4.5</v>
      </c>
      <c r="L758">
        <f>IF(MONTH(calls[[#This Row],[Date of Call]])&lt;=6, YEAR(calls[[#This Row],[Date of Call]]), YEAR(calls[[#This Row],[Date of Call]])+1)</f>
        <v>2024</v>
      </c>
      <c r="M758" t="str">
        <f>TEXT(calls[[#This Row],[Date of Call]],"DDDD")</f>
        <v>الثلاثاء</v>
      </c>
      <c r="N758" t="str" cm="1">
        <f t="array" ref="N758">_xlfn.IFS(calls[[#This Row],[Duration]]&lt;=10,"Under 10 mins", calls[[#This Row],[Duration]]&lt;=30, "10 to 30 mins", calls[[#This Row],[Duration]]&lt;=60, "30 to 60 mins", calls[[#This Row],[Duration]]&lt;=120, "1 to 2 hours", TRUE, "More than 2 hours")</f>
        <v>1 to 2 hours</v>
      </c>
      <c r="O758">
        <f>ROUND(calls[[#This Row],[Satisfaction Rating]],0)</f>
        <v>5</v>
      </c>
    </row>
    <row r="759" spans="2:15" x14ac:dyDescent="0.25">
      <c r="B759" t="s">
        <v>780</v>
      </c>
      <c r="C759" t="s">
        <v>6</v>
      </c>
      <c r="D759">
        <f>VLOOKUP(C759,customers[],3,0)</f>
        <v>23</v>
      </c>
      <c r="E759" t="str">
        <f>VLOOKUP(C759,customers[],2,0)</f>
        <v>Male</v>
      </c>
      <c r="F759" t="str">
        <f>VLOOKUP(C759,customers[],4,0)</f>
        <v>Columbus</v>
      </c>
      <c r="G759">
        <v>142</v>
      </c>
      <c r="H759" s="17" t="s">
        <v>8</v>
      </c>
      <c r="I759" s="18">
        <v>45196</v>
      </c>
      <c r="J759">
        <v>37</v>
      </c>
      <c r="K759">
        <v>3.8</v>
      </c>
      <c r="L759">
        <f>IF(MONTH(calls[[#This Row],[Date of Call]])&lt;=6, YEAR(calls[[#This Row],[Date of Call]]), YEAR(calls[[#This Row],[Date of Call]])+1)</f>
        <v>2024</v>
      </c>
      <c r="M759" t="str">
        <f>TEXT(calls[[#This Row],[Date of Call]],"DDDD")</f>
        <v>الأربعاء</v>
      </c>
      <c r="N759" t="str" cm="1">
        <f t="array" ref="N759">_xlfn.IFS(calls[[#This Row],[Duration]]&lt;=10,"Under 10 mins", calls[[#This Row],[Duration]]&lt;=30, "10 to 30 mins", calls[[#This Row],[Duration]]&lt;=60, "30 to 60 mins", calls[[#This Row],[Duration]]&lt;=120, "1 to 2 hours", TRUE, "More than 2 hours")</f>
        <v>More than 2 hours</v>
      </c>
      <c r="O759">
        <f>ROUND(calls[[#This Row],[Satisfaction Rating]],0)</f>
        <v>4</v>
      </c>
    </row>
    <row r="760" spans="2:15" x14ac:dyDescent="0.25">
      <c r="B760" t="s">
        <v>781</v>
      </c>
      <c r="C760" t="s">
        <v>6</v>
      </c>
      <c r="D760">
        <f>VLOOKUP(C760,customers[],3,0)</f>
        <v>23</v>
      </c>
      <c r="E760" t="str">
        <f>VLOOKUP(C760,customers[],2,0)</f>
        <v>Male</v>
      </c>
      <c r="F760" t="str">
        <f>VLOOKUP(C760,customers[],4,0)</f>
        <v>Columbus</v>
      </c>
      <c r="G760">
        <v>71</v>
      </c>
      <c r="H760" s="17" t="s">
        <v>12</v>
      </c>
      <c r="I760" s="18">
        <v>45196</v>
      </c>
      <c r="J760">
        <v>135</v>
      </c>
      <c r="K760">
        <v>3.9</v>
      </c>
      <c r="L760">
        <f>IF(MONTH(calls[[#This Row],[Date of Call]])&lt;=6, YEAR(calls[[#This Row],[Date of Call]]), YEAR(calls[[#This Row],[Date of Call]])+1)</f>
        <v>2024</v>
      </c>
      <c r="M760" t="str">
        <f>TEXT(calls[[#This Row],[Date of Call]],"DDDD")</f>
        <v>الأربعاء</v>
      </c>
      <c r="N760" t="str" cm="1">
        <f t="array" ref="N760">_xlfn.IFS(calls[[#This Row],[Duration]]&lt;=10,"Under 10 mins", calls[[#This Row],[Duration]]&lt;=30, "10 to 30 mins", calls[[#This Row],[Duration]]&lt;=60, "30 to 60 mins", calls[[#This Row],[Duration]]&lt;=120, "1 to 2 hours", TRUE, "More than 2 hours")</f>
        <v>1 to 2 hours</v>
      </c>
      <c r="O760">
        <f>ROUND(calls[[#This Row],[Satisfaction Rating]],0)</f>
        <v>4</v>
      </c>
    </row>
    <row r="761" spans="2:15" x14ac:dyDescent="0.25">
      <c r="B761" t="s">
        <v>782</v>
      </c>
      <c r="C761" t="s">
        <v>23</v>
      </c>
      <c r="D761">
        <f>VLOOKUP(C761,customers[],3,0)</f>
        <v>31</v>
      </c>
      <c r="E761" t="str">
        <f>VLOOKUP(C761,customers[],2,0)</f>
        <v>Male</v>
      </c>
      <c r="F761" t="str">
        <f>VLOOKUP(C761,customers[],4,0)</f>
        <v>Cleveland</v>
      </c>
      <c r="G761">
        <v>152</v>
      </c>
      <c r="H761" s="17" t="s">
        <v>12</v>
      </c>
      <c r="I761" s="18">
        <v>45196</v>
      </c>
      <c r="J761">
        <v>88</v>
      </c>
      <c r="K761">
        <v>4.7</v>
      </c>
      <c r="L761">
        <f>IF(MONTH(calls[[#This Row],[Date of Call]])&lt;=6, YEAR(calls[[#This Row],[Date of Call]]), YEAR(calls[[#This Row],[Date of Call]])+1)</f>
        <v>2024</v>
      </c>
      <c r="M761" t="str">
        <f>TEXT(calls[[#This Row],[Date of Call]],"DDDD")</f>
        <v>الأربعاء</v>
      </c>
      <c r="N761" t="str" cm="1">
        <f t="array" ref="N761">_xlfn.IFS(calls[[#This Row],[Duration]]&lt;=10,"Under 10 mins", calls[[#This Row],[Duration]]&lt;=30, "10 to 30 mins", calls[[#This Row],[Duration]]&lt;=60, "30 to 60 mins", calls[[#This Row],[Duration]]&lt;=120, "1 to 2 hours", TRUE, "More than 2 hours")</f>
        <v>More than 2 hours</v>
      </c>
      <c r="O761">
        <f>ROUND(calls[[#This Row],[Satisfaction Rating]],0)</f>
        <v>5</v>
      </c>
    </row>
    <row r="762" spans="2:15" x14ac:dyDescent="0.25">
      <c r="B762" t="s">
        <v>783</v>
      </c>
      <c r="C762" t="s">
        <v>16</v>
      </c>
      <c r="D762">
        <f>VLOOKUP(C762,customers[],3,0)</f>
        <v>41</v>
      </c>
      <c r="E762" t="str">
        <f>VLOOKUP(C762,customers[],2,0)</f>
        <v>Male</v>
      </c>
      <c r="F762" t="str">
        <f>VLOOKUP(C762,customers[],4,0)</f>
        <v>Columbus</v>
      </c>
      <c r="G762">
        <v>108</v>
      </c>
      <c r="H762" s="17" t="s">
        <v>8</v>
      </c>
      <c r="I762" s="18">
        <v>45196</v>
      </c>
      <c r="J762">
        <v>190</v>
      </c>
      <c r="K762">
        <v>3.2</v>
      </c>
      <c r="L762">
        <f>IF(MONTH(calls[[#This Row],[Date of Call]])&lt;=6, YEAR(calls[[#This Row],[Date of Call]]), YEAR(calls[[#This Row],[Date of Call]])+1)</f>
        <v>2024</v>
      </c>
      <c r="M762" t="str">
        <f>TEXT(calls[[#This Row],[Date of Call]],"DDDD")</f>
        <v>الأربعاء</v>
      </c>
      <c r="N762" t="str" cm="1">
        <f t="array" ref="N762">_xlfn.IFS(calls[[#This Row],[Duration]]&lt;=10,"Under 10 mins", calls[[#This Row],[Duration]]&lt;=30, "10 to 30 mins", calls[[#This Row],[Duration]]&lt;=60, "30 to 60 mins", calls[[#This Row],[Duration]]&lt;=120, "1 to 2 hours", TRUE, "More than 2 hours")</f>
        <v>1 to 2 hours</v>
      </c>
      <c r="O762">
        <f>ROUND(calls[[#This Row],[Satisfaction Rating]],0)</f>
        <v>3</v>
      </c>
    </row>
    <row r="763" spans="2:15" x14ac:dyDescent="0.25">
      <c r="B763" t="s">
        <v>784</v>
      </c>
      <c r="C763" t="s">
        <v>16</v>
      </c>
      <c r="D763">
        <f>VLOOKUP(C763,customers[],3,0)</f>
        <v>41</v>
      </c>
      <c r="E763" t="str">
        <f>VLOOKUP(C763,customers[],2,0)</f>
        <v>Male</v>
      </c>
      <c r="F763" t="str">
        <f>VLOOKUP(C763,customers[],4,0)</f>
        <v>Columbus</v>
      </c>
      <c r="G763">
        <v>156</v>
      </c>
      <c r="H763" s="17" t="s">
        <v>12</v>
      </c>
      <c r="I763" s="18">
        <v>45196</v>
      </c>
      <c r="J763">
        <v>81</v>
      </c>
      <c r="K763">
        <v>5</v>
      </c>
      <c r="L763">
        <f>IF(MONTH(calls[[#This Row],[Date of Call]])&lt;=6, YEAR(calls[[#This Row],[Date of Call]]), YEAR(calls[[#This Row],[Date of Call]])+1)</f>
        <v>2024</v>
      </c>
      <c r="M763" t="str">
        <f>TEXT(calls[[#This Row],[Date of Call]],"DDDD")</f>
        <v>الأربعاء</v>
      </c>
      <c r="N763" t="str" cm="1">
        <f t="array" ref="N763">_xlfn.IFS(calls[[#This Row],[Duration]]&lt;=10,"Under 10 mins", calls[[#This Row],[Duration]]&lt;=30, "10 to 30 mins", calls[[#This Row],[Duration]]&lt;=60, "30 to 60 mins", calls[[#This Row],[Duration]]&lt;=120, "1 to 2 hours", TRUE, "More than 2 hours")</f>
        <v>More than 2 hours</v>
      </c>
      <c r="O763">
        <f>ROUND(calls[[#This Row],[Satisfaction Rating]],0)</f>
        <v>5</v>
      </c>
    </row>
    <row r="764" spans="2:15" x14ac:dyDescent="0.25">
      <c r="B764" t="s">
        <v>785</v>
      </c>
      <c r="C764" t="s">
        <v>6</v>
      </c>
      <c r="D764">
        <f>VLOOKUP(C764,customers[],3,0)</f>
        <v>23</v>
      </c>
      <c r="E764" t="str">
        <f>VLOOKUP(C764,customers[],2,0)</f>
        <v>Male</v>
      </c>
      <c r="F764" t="str">
        <f>VLOOKUP(C764,customers[],4,0)</f>
        <v>Columbus</v>
      </c>
      <c r="G764">
        <v>126</v>
      </c>
      <c r="H764" s="17" t="s">
        <v>8</v>
      </c>
      <c r="I764" s="18">
        <v>45196</v>
      </c>
      <c r="J764">
        <v>44</v>
      </c>
      <c r="K764">
        <v>3.7</v>
      </c>
      <c r="L764">
        <f>IF(MONTH(calls[[#This Row],[Date of Call]])&lt;=6, YEAR(calls[[#This Row],[Date of Call]]), YEAR(calls[[#This Row],[Date of Call]])+1)</f>
        <v>2024</v>
      </c>
      <c r="M764" t="str">
        <f>TEXT(calls[[#This Row],[Date of Call]],"DDDD")</f>
        <v>الأربعاء</v>
      </c>
      <c r="N764" t="str" cm="1">
        <f t="array" ref="N764">_xlfn.IFS(calls[[#This Row],[Duration]]&lt;=10,"Under 10 mins", calls[[#This Row],[Duration]]&lt;=30, "10 to 30 mins", calls[[#This Row],[Duration]]&lt;=60, "30 to 60 mins", calls[[#This Row],[Duration]]&lt;=120, "1 to 2 hours", TRUE, "More than 2 hours")</f>
        <v>More than 2 hours</v>
      </c>
      <c r="O764">
        <f>ROUND(calls[[#This Row],[Satisfaction Rating]],0)</f>
        <v>4</v>
      </c>
    </row>
    <row r="765" spans="2:15" x14ac:dyDescent="0.25">
      <c r="B765" t="s">
        <v>786</v>
      </c>
      <c r="C765" t="s">
        <v>22</v>
      </c>
      <c r="D765">
        <f>VLOOKUP(C765,customers[],3,0)</f>
        <v>37</v>
      </c>
      <c r="E765" t="str">
        <f>VLOOKUP(C765,customers[],2,0)</f>
        <v>Male</v>
      </c>
      <c r="F765" t="str">
        <f>VLOOKUP(C765,customers[],4,0)</f>
        <v>Columbus</v>
      </c>
      <c r="G765">
        <v>135</v>
      </c>
      <c r="H765" s="17" t="s">
        <v>12</v>
      </c>
      <c r="I765" s="18">
        <v>45197</v>
      </c>
      <c r="J765">
        <v>92</v>
      </c>
      <c r="K765">
        <v>3.9</v>
      </c>
      <c r="L765">
        <f>IF(MONTH(calls[[#This Row],[Date of Call]])&lt;=6, YEAR(calls[[#This Row],[Date of Call]]), YEAR(calls[[#This Row],[Date of Call]])+1)</f>
        <v>2024</v>
      </c>
      <c r="M765" t="str">
        <f>TEXT(calls[[#This Row],[Date of Call]],"DDDD")</f>
        <v>الخميس</v>
      </c>
      <c r="N765" t="str" cm="1">
        <f t="array" ref="N765">_xlfn.IFS(calls[[#This Row],[Duration]]&lt;=10,"Under 10 mins", calls[[#This Row],[Duration]]&lt;=30, "10 to 30 mins", calls[[#This Row],[Duration]]&lt;=60, "30 to 60 mins", calls[[#This Row],[Duration]]&lt;=120, "1 to 2 hours", TRUE, "More than 2 hours")</f>
        <v>More than 2 hours</v>
      </c>
      <c r="O765">
        <f>ROUND(calls[[#This Row],[Satisfaction Rating]],0)</f>
        <v>4</v>
      </c>
    </row>
    <row r="766" spans="2:15" x14ac:dyDescent="0.25">
      <c r="B766" t="s">
        <v>787</v>
      </c>
      <c r="C766" t="s">
        <v>6</v>
      </c>
      <c r="D766">
        <f>VLOOKUP(C766,customers[],3,0)</f>
        <v>23</v>
      </c>
      <c r="E766" t="str">
        <f>VLOOKUP(C766,customers[],2,0)</f>
        <v>Male</v>
      </c>
      <c r="F766" t="str">
        <f>VLOOKUP(C766,customers[],4,0)</f>
        <v>Columbus</v>
      </c>
      <c r="G766">
        <v>110</v>
      </c>
      <c r="H766" s="17" t="s">
        <v>9</v>
      </c>
      <c r="I766" s="18">
        <v>45198</v>
      </c>
      <c r="J766">
        <v>90</v>
      </c>
      <c r="K766">
        <v>3.1</v>
      </c>
      <c r="L766">
        <f>IF(MONTH(calls[[#This Row],[Date of Call]])&lt;=6, YEAR(calls[[#This Row],[Date of Call]]), YEAR(calls[[#This Row],[Date of Call]])+1)</f>
        <v>2024</v>
      </c>
      <c r="M766" t="str">
        <f>TEXT(calls[[#This Row],[Date of Call]],"DDDD")</f>
        <v>الجمعة</v>
      </c>
      <c r="N766" t="str" cm="1">
        <f t="array" ref="N766">_xlfn.IFS(calls[[#This Row],[Duration]]&lt;=10,"Under 10 mins", calls[[#This Row],[Duration]]&lt;=30, "10 to 30 mins", calls[[#This Row],[Duration]]&lt;=60, "30 to 60 mins", calls[[#This Row],[Duration]]&lt;=120, "1 to 2 hours", TRUE, "More than 2 hours")</f>
        <v>1 to 2 hours</v>
      </c>
      <c r="O766">
        <f>ROUND(calls[[#This Row],[Satisfaction Rating]],0)</f>
        <v>3</v>
      </c>
    </row>
    <row r="767" spans="2:15" x14ac:dyDescent="0.25">
      <c r="B767" t="s">
        <v>788</v>
      </c>
      <c r="C767" t="s">
        <v>18</v>
      </c>
      <c r="D767">
        <f>VLOOKUP(C767,customers[],3,0)</f>
        <v>43</v>
      </c>
      <c r="E767" t="str">
        <f>VLOOKUP(C767,customers[],2,0)</f>
        <v>Female</v>
      </c>
      <c r="F767" t="str">
        <f>VLOOKUP(C767,customers[],4,0)</f>
        <v>Cleveland</v>
      </c>
      <c r="G767">
        <v>64</v>
      </c>
      <c r="H767" s="17" t="s">
        <v>12</v>
      </c>
      <c r="I767" s="18">
        <v>45198</v>
      </c>
      <c r="J767">
        <v>112</v>
      </c>
      <c r="K767">
        <v>2</v>
      </c>
      <c r="L767">
        <f>IF(MONTH(calls[[#This Row],[Date of Call]])&lt;=6, YEAR(calls[[#This Row],[Date of Call]]), YEAR(calls[[#This Row],[Date of Call]])+1)</f>
        <v>2024</v>
      </c>
      <c r="M767" t="str">
        <f>TEXT(calls[[#This Row],[Date of Call]],"DDDD")</f>
        <v>الجمعة</v>
      </c>
      <c r="N767" t="str" cm="1">
        <f t="array" ref="N767">_xlfn.IFS(calls[[#This Row],[Duration]]&lt;=10,"Under 10 mins", calls[[#This Row],[Duration]]&lt;=30, "10 to 30 mins", calls[[#This Row],[Duration]]&lt;=60, "30 to 60 mins", calls[[#This Row],[Duration]]&lt;=120, "1 to 2 hours", TRUE, "More than 2 hours")</f>
        <v>1 to 2 hours</v>
      </c>
      <c r="O767">
        <f>ROUND(calls[[#This Row],[Satisfaction Rating]],0)</f>
        <v>2</v>
      </c>
    </row>
    <row r="768" spans="2:15" x14ac:dyDescent="0.25">
      <c r="B768" t="s">
        <v>789</v>
      </c>
      <c r="C768" t="s">
        <v>21</v>
      </c>
      <c r="D768">
        <f>VLOOKUP(C768,customers[],3,0)</f>
        <v>25</v>
      </c>
      <c r="E768" t="str">
        <f>VLOOKUP(C768,customers[],2,0)</f>
        <v>Female</v>
      </c>
      <c r="F768" t="str">
        <f>VLOOKUP(C768,customers[],4,0)</f>
        <v>Columbus</v>
      </c>
      <c r="G768">
        <v>127</v>
      </c>
      <c r="H768" s="17" t="s">
        <v>8</v>
      </c>
      <c r="I768" s="18">
        <v>45198</v>
      </c>
      <c r="J768">
        <v>112</v>
      </c>
      <c r="K768">
        <v>4.5999999999999996</v>
      </c>
      <c r="L768">
        <f>IF(MONTH(calls[[#This Row],[Date of Call]])&lt;=6, YEAR(calls[[#This Row],[Date of Call]]), YEAR(calls[[#This Row],[Date of Call]])+1)</f>
        <v>2024</v>
      </c>
      <c r="M768" t="str">
        <f>TEXT(calls[[#This Row],[Date of Call]],"DDDD")</f>
        <v>الجمعة</v>
      </c>
      <c r="N768" t="str" cm="1">
        <f t="array" ref="N768">_xlfn.IFS(calls[[#This Row],[Duration]]&lt;=10,"Under 10 mins", calls[[#This Row],[Duration]]&lt;=30, "10 to 30 mins", calls[[#This Row],[Duration]]&lt;=60, "30 to 60 mins", calls[[#This Row],[Duration]]&lt;=120, "1 to 2 hours", TRUE, "More than 2 hours")</f>
        <v>More than 2 hours</v>
      </c>
      <c r="O768">
        <f>ROUND(calls[[#This Row],[Satisfaction Rating]],0)</f>
        <v>5</v>
      </c>
    </row>
    <row r="769" spans="2:15" x14ac:dyDescent="0.25">
      <c r="B769" t="s">
        <v>790</v>
      </c>
      <c r="C769" t="s">
        <v>4</v>
      </c>
      <c r="D769">
        <f>VLOOKUP(C769,customers[],3,0)</f>
        <v>42</v>
      </c>
      <c r="E769" t="str">
        <f>VLOOKUP(C769,customers[],2,0)</f>
        <v>Female</v>
      </c>
      <c r="F769" t="str">
        <f>VLOOKUP(C769,customers[],4,0)</f>
        <v>Cleveland</v>
      </c>
      <c r="G769">
        <v>124</v>
      </c>
      <c r="H769" s="17" t="s">
        <v>10</v>
      </c>
      <c r="I769" s="18">
        <v>45198</v>
      </c>
      <c r="J769">
        <v>48</v>
      </c>
      <c r="K769">
        <v>3.7</v>
      </c>
      <c r="L769">
        <f>IF(MONTH(calls[[#This Row],[Date of Call]])&lt;=6, YEAR(calls[[#This Row],[Date of Call]]), YEAR(calls[[#This Row],[Date of Call]])+1)</f>
        <v>2024</v>
      </c>
      <c r="M769" t="str">
        <f>TEXT(calls[[#This Row],[Date of Call]],"DDDD")</f>
        <v>الجمعة</v>
      </c>
      <c r="N769" t="str" cm="1">
        <f t="array" ref="N769">_xlfn.IFS(calls[[#This Row],[Duration]]&lt;=10,"Under 10 mins", calls[[#This Row],[Duration]]&lt;=30, "10 to 30 mins", calls[[#This Row],[Duration]]&lt;=60, "30 to 60 mins", calls[[#This Row],[Duration]]&lt;=120, "1 to 2 hours", TRUE, "More than 2 hours")</f>
        <v>More than 2 hours</v>
      </c>
      <c r="O769">
        <f>ROUND(calls[[#This Row],[Satisfaction Rating]],0)</f>
        <v>4</v>
      </c>
    </row>
    <row r="770" spans="2:15" x14ac:dyDescent="0.25">
      <c r="B770" t="s">
        <v>791</v>
      </c>
      <c r="C770" t="s">
        <v>18</v>
      </c>
      <c r="D770">
        <f>VLOOKUP(C770,customers[],3,0)</f>
        <v>43</v>
      </c>
      <c r="E770" t="str">
        <f>VLOOKUP(C770,customers[],2,0)</f>
        <v>Female</v>
      </c>
      <c r="F770" t="str">
        <f>VLOOKUP(C770,customers[],4,0)</f>
        <v>Cleveland</v>
      </c>
      <c r="G770">
        <v>125</v>
      </c>
      <c r="H770" s="17" t="s">
        <v>8</v>
      </c>
      <c r="I770" s="18">
        <v>45198</v>
      </c>
      <c r="J770">
        <v>116</v>
      </c>
      <c r="K770">
        <v>4.4000000000000004</v>
      </c>
      <c r="L770">
        <f>IF(MONTH(calls[[#This Row],[Date of Call]])&lt;=6, YEAR(calls[[#This Row],[Date of Call]]), YEAR(calls[[#This Row],[Date of Call]])+1)</f>
        <v>2024</v>
      </c>
      <c r="M770" t="str">
        <f>TEXT(calls[[#This Row],[Date of Call]],"DDDD")</f>
        <v>الجمعة</v>
      </c>
      <c r="N770" t="str" cm="1">
        <f t="array" ref="N770">_xlfn.IFS(calls[[#This Row],[Duration]]&lt;=10,"Under 10 mins", calls[[#This Row],[Duration]]&lt;=30, "10 to 30 mins", calls[[#This Row],[Duration]]&lt;=60, "30 to 60 mins", calls[[#This Row],[Duration]]&lt;=120, "1 to 2 hours", TRUE, "More than 2 hours")</f>
        <v>More than 2 hours</v>
      </c>
      <c r="O770">
        <f>ROUND(calls[[#This Row],[Satisfaction Rating]],0)</f>
        <v>4</v>
      </c>
    </row>
    <row r="771" spans="2:15" x14ac:dyDescent="0.25">
      <c r="B771" t="s">
        <v>792</v>
      </c>
      <c r="C771" t="s">
        <v>11</v>
      </c>
      <c r="D771">
        <f>VLOOKUP(C771,customers[],3,0)</f>
        <v>36</v>
      </c>
      <c r="E771" t="str">
        <f>VLOOKUP(C771,customers[],2,0)</f>
        <v>Male</v>
      </c>
      <c r="F771" t="str">
        <f>VLOOKUP(C771,customers[],4,0)</f>
        <v>Cincinnati</v>
      </c>
      <c r="G771">
        <v>70</v>
      </c>
      <c r="H771" s="17" t="s">
        <v>8</v>
      </c>
      <c r="I771" s="18">
        <v>45198</v>
      </c>
      <c r="J771">
        <v>29</v>
      </c>
      <c r="K771">
        <v>2.1</v>
      </c>
      <c r="L771">
        <f>IF(MONTH(calls[[#This Row],[Date of Call]])&lt;=6, YEAR(calls[[#This Row],[Date of Call]]), YEAR(calls[[#This Row],[Date of Call]])+1)</f>
        <v>2024</v>
      </c>
      <c r="M771" t="str">
        <f>TEXT(calls[[#This Row],[Date of Call]],"DDDD")</f>
        <v>الجمعة</v>
      </c>
      <c r="N771" t="str" cm="1">
        <f t="array" ref="N771">_xlfn.IFS(calls[[#This Row],[Duration]]&lt;=10,"Under 10 mins", calls[[#This Row],[Duration]]&lt;=30, "10 to 30 mins", calls[[#This Row],[Duration]]&lt;=60, "30 to 60 mins", calls[[#This Row],[Duration]]&lt;=120, "1 to 2 hours", TRUE, "More than 2 hours")</f>
        <v>1 to 2 hours</v>
      </c>
      <c r="O771">
        <f>ROUND(calls[[#This Row],[Satisfaction Rating]],0)</f>
        <v>2</v>
      </c>
    </row>
    <row r="772" spans="2:15" x14ac:dyDescent="0.25">
      <c r="B772" t="s">
        <v>793</v>
      </c>
      <c r="C772" t="s">
        <v>21</v>
      </c>
      <c r="D772">
        <f>VLOOKUP(C772,customers[],3,0)</f>
        <v>25</v>
      </c>
      <c r="E772" t="str">
        <f>VLOOKUP(C772,customers[],2,0)</f>
        <v>Female</v>
      </c>
      <c r="F772" t="str">
        <f>VLOOKUP(C772,customers[],4,0)</f>
        <v>Columbus</v>
      </c>
      <c r="G772">
        <v>93</v>
      </c>
      <c r="H772" s="17" t="s">
        <v>12</v>
      </c>
      <c r="I772" s="18">
        <v>45199</v>
      </c>
      <c r="J772">
        <v>170</v>
      </c>
      <c r="K772">
        <v>2.2000000000000002</v>
      </c>
      <c r="L772">
        <f>IF(MONTH(calls[[#This Row],[Date of Call]])&lt;=6, YEAR(calls[[#This Row],[Date of Call]]), YEAR(calls[[#This Row],[Date of Call]])+1)</f>
        <v>2024</v>
      </c>
      <c r="M772" t="str">
        <f>TEXT(calls[[#This Row],[Date of Call]],"DDDD")</f>
        <v>السبت</v>
      </c>
      <c r="N772" t="str" cm="1">
        <f t="array" ref="N772">_xlfn.IFS(calls[[#This Row],[Duration]]&lt;=10,"Under 10 mins", calls[[#This Row],[Duration]]&lt;=30, "10 to 30 mins", calls[[#This Row],[Duration]]&lt;=60, "30 to 60 mins", calls[[#This Row],[Duration]]&lt;=120, "1 to 2 hours", TRUE, "More than 2 hours")</f>
        <v>1 to 2 hours</v>
      </c>
      <c r="O772">
        <f>ROUND(calls[[#This Row],[Satisfaction Rating]],0)</f>
        <v>2</v>
      </c>
    </row>
    <row r="773" spans="2:15" x14ac:dyDescent="0.25">
      <c r="B773" t="s">
        <v>794</v>
      </c>
      <c r="C773" t="s">
        <v>11</v>
      </c>
      <c r="D773">
        <f>VLOOKUP(C773,customers[],3,0)</f>
        <v>36</v>
      </c>
      <c r="E773" t="str">
        <f>VLOOKUP(C773,customers[],2,0)</f>
        <v>Male</v>
      </c>
      <c r="F773" t="str">
        <f>VLOOKUP(C773,customers[],4,0)</f>
        <v>Cincinnati</v>
      </c>
      <c r="G773">
        <v>120</v>
      </c>
      <c r="H773" s="17" t="s">
        <v>5</v>
      </c>
      <c r="I773" s="18">
        <v>45199</v>
      </c>
      <c r="J773">
        <v>68</v>
      </c>
      <c r="K773">
        <v>3.4</v>
      </c>
      <c r="L773">
        <f>IF(MONTH(calls[[#This Row],[Date of Call]])&lt;=6, YEAR(calls[[#This Row],[Date of Call]]), YEAR(calls[[#This Row],[Date of Call]])+1)</f>
        <v>2024</v>
      </c>
      <c r="M773" t="str">
        <f>TEXT(calls[[#This Row],[Date of Call]],"DDDD")</f>
        <v>السبت</v>
      </c>
      <c r="N773" t="str" cm="1">
        <f t="array" ref="N773">_xlfn.IFS(calls[[#This Row],[Duration]]&lt;=10,"Under 10 mins", calls[[#This Row],[Duration]]&lt;=30, "10 to 30 mins", calls[[#This Row],[Duration]]&lt;=60, "30 to 60 mins", calls[[#This Row],[Duration]]&lt;=120, "1 to 2 hours", TRUE, "More than 2 hours")</f>
        <v>1 to 2 hours</v>
      </c>
      <c r="O773">
        <f>ROUND(calls[[#This Row],[Satisfaction Rating]],0)</f>
        <v>3</v>
      </c>
    </row>
    <row r="774" spans="2:15" x14ac:dyDescent="0.25">
      <c r="B774" t="s">
        <v>795</v>
      </c>
      <c r="C774" t="s">
        <v>7</v>
      </c>
      <c r="D774">
        <f>VLOOKUP(C774,customers[],3,0)</f>
        <v>30</v>
      </c>
      <c r="E774" t="str">
        <f>VLOOKUP(C774,customers[],2,0)</f>
        <v>Female</v>
      </c>
      <c r="F774" t="str">
        <f>VLOOKUP(C774,customers[],4,0)</f>
        <v>Cincinnati</v>
      </c>
      <c r="G774">
        <v>96</v>
      </c>
      <c r="H774" s="17" t="s">
        <v>9</v>
      </c>
      <c r="I774" s="18">
        <v>45199</v>
      </c>
      <c r="J774">
        <v>195</v>
      </c>
      <c r="K774">
        <v>2.7</v>
      </c>
      <c r="L774">
        <f>IF(MONTH(calls[[#This Row],[Date of Call]])&lt;=6, YEAR(calls[[#This Row],[Date of Call]]), YEAR(calls[[#This Row],[Date of Call]])+1)</f>
        <v>2024</v>
      </c>
      <c r="M774" t="str">
        <f>TEXT(calls[[#This Row],[Date of Call]],"DDDD")</f>
        <v>السبت</v>
      </c>
      <c r="N774" t="str" cm="1">
        <f t="array" ref="N774">_xlfn.IFS(calls[[#This Row],[Duration]]&lt;=10,"Under 10 mins", calls[[#This Row],[Duration]]&lt;=30, "10 to 30 mins", calls[[#This Row],[Duration]]&lt;=60, "30 to 60 mins", calls[[#This Row],[Duration]]&lt;=120, "1 to 2 hours", TRUE, "More than 2 hours")</f>
        <v>1 to 2 hours</v>
      </c>
      <c r="O774">
        <f>ROUND(calls[[#This Row],[Satisfaction Rating]],0)</f>
        <v>3</v>
      </c>
    </row>
    <row r="775" spans="2:15" x14ac:dyDescent="0.25">
      <c r="B775" t="s">
        <v>796</v>
      </c>
      <c r="C775" t="s">
        <v>20</v>
      </c>
      <c r="D775">
        <f>VLOOKUP(C775,customers[],3,0)</f>
        <v>38</v>
      </c>
      <c r="E775" t="str">
        <f>VLOOKUP(C775,customers[],2,0)</f>
        <v>Female</v>
      </c>
      <c r="F775" t="str">
        <f>VLOOKUP(C775,customers[],4,0)</f>
        <v>Columbus</v>
      </c>
      <c r="G775">
        <v>67</v>
      </c>
      <c r="H775" s="17" t="s">
        <v>9</v>
      </c>
      <c r="I775" s="18">
        <v>45199</v>
      </c>
      <c r="J775">
        <v>96</v>
      </c>
      <c r="K775">
        <v>3.7</v>
      </c>
      <c r="L775">
        <f>IF(MONTH(calls[[#This Row],[Date of Call]])&lt;=6, YEAR(calls[[#This Row],[Date of Call]]), YEAR(calls[[#This Row],[Date of Call]])+1)</f>
        <v>2024</v>
      </c>
      <c r="M775" t="str">
        <f>TEXT(calls[[#This Row],[Date of Call]],"DDDD")</f>
        <v>السبت</v>
      </c>
      <c r="N775" t="str" cm="1">
        <f t="array" ref="N775">_xlfn.IFS(calls[[#This Row],[Duration]]&lt;=10,"Under 10 mins", calls[[#This Row],[Duration]]&lt;=30, "10 to 30 mins", calls[[#This Row],[Duration]]&lt;=60, "30 to 60 mins", calls[[#This Row],[Duration]]&lt;=120, "1 to 2 hours", TRUE, "More than 2 hours")</f>
        <v>1 to 2 hours</v>
      </c>
      <c r="O775">
        <f>ROUND(calls[[#This Row],[Satisfaction Rating]],0)</f>
        <v>4</v>
      </c>
    </row>
    <row r="776" spans="2:15" x14ac:dyDescent="0.25">
      <c r="B776" t="s">
        <v>797</v>
      </c>
      <c r="C776" t="s">
        <v>18</v>
      </c>
      <c r="D776">
        <f>VLOOKUP(C776,customers[],3,0)</f>
        <v>43</v>
      </c>
      <c r="E776" t="str">
        <f>VLOOKUP(C776,customers[],2,0)</f>
        <v>Female</v>
      </c>
      <c r="F776" t="str">
        <f>VLOOKUP(C776,customers[],4,0)</f>
        <v>Cleveland</v>
      </c>
      <c r="G776">
        <v>119</v>
      </c>
      <c r="H776" s="17" t="s">
        <v>9</v>
      </c>
      <c r="I776" s="18">
        <v>45199</v>
      </c>
      <c r="J776">
        <v>96</v>
      </c>
      <c r="K776">
        <v>3.1</v>
      </c>
      <c r="L776">
        <f>IF(MONTH(calls[[#This Row],[Date of Call]])&lt;=6, YEAR(calls[[#This Row],[Date of Call]]), YEAR(calls[[#This Row],[Date of Call]])+1)</f>
        <v>2024</v>
      </c>
      <c r="M776" t="str">
        <f>TEXT(calls[[#This Row],[Date of Call]],"DDDD")</f>
        <v>السبت</v>
      </c>
      <c r="N776" t="str" cm="1">
        <f t="array" ref="N776">_xlfn.IFS(calls[[#This Row],[Duration]]&lt;=10,"Under 10 mins", calls[[#This Row],[Duration]]&lt;=30, "10 to 30 mins", calls[[#This Row],[Duration]]&lt;=60, "30 to 60 mins", calls[[#This Row],[Duration]]&lt;=120, "1 to 2 hours", TRUE, "More than 2 hours")</f>
        <v>1 to 2 hours</v>
      </c>
      <c r="O776">
        <f>ROUND(calls[[#This Row],[Satisfaction Rating]],0)</f>
        <v>3</v>
      </c>
    </row>
    <row r="777" spans="2:15" x14ac:dyDescent="0.25">
      <c r="B777" t="s">
        <v>798</v>
      </c>
      <c r="C777" t="s">
        <v>4</v>
      </c>
      <c r="D777">
        <f>VLOOKUP(C777,customers[],3,0)</f>
        <v>42</v>
      </c>
      <c r="E777" t="str">
        <f>VLOOKUP(C777,customers[],2,0)</f>
        <v>Female</v>
      </c>
      <c r="F777" t="str">
        <f>VLOOKUP(C777,customers[],4,0)</f>
        <v>Cleveland</v>
      </c>
      <c r="G777">
        <v>61</v>
      </c>
      <c r="H777" s="17" t="s">
        <v>10</v>
      </c>
      <c r="I777" s="18">
        <v>45199</v>
      </c>
      <c r="J777">
        <v>117</v>
      </c>
      <c r="K777">
        <v>4.0999999999999996</v>
      </c>
      <c r="L777">
        <f>IF(MONTH(calls[[#This Row],[Date of Call]])&lt;=6, YEAR(calls[[#This Row],[Date of Call]]), YEAR(calls[[#This Row],[Date of Call]])+1)</f>
        <v>2024</v>
      </c>
      <c r="M777" t="str">
        <f>TEXT(calls[[#This Row],[Date of Call]],"DDDD")</f>
        <v>السبت</v>
      </c>
      <c r="N777" t="str" cm="1">
        <f t="array" ref="N777">_xlfn.IFS(calls[[#This Row],[Duration]]&lt;=10,"Under 10 mins", calls[[#This Row],[Duration]]&lt;=30, "10 to 30 mins", calls[[#This Row],[Duration]]&lt;=60, "30 to 60 mins", calls[[#This Row],[Duration]]&lt;=120, "1 to 2 hours", TRUE, "More than 2 hours")</f>
        <v>1 to 2 hours</v>
      </c>
      <c r="O777">
        <f>ROUND(calls[[#This Row],[Satisfaction Rating]],0)</f>
        <v>4</v>
      </c>
    </row>
    <row r="778" spans="2:15" x14ac:dyDescent="0.25">
      <c r="B778" t="s">
        <v>799</v>
      </c>
      <c r="C778" t="s">
        <v>7</v>
      </c>
      <c r="D778">
        <f>VLOOKUP(C778,customers[],3,0)</f>
        <v>30</v>
      </c>
      <c r="E778" t="str">
        <f>VLOOKUP(C778,customers[],2,0)</f>
        <v>Female</v>
      </c>
      <c r="F778" t="str">
        <f>VLOOKUP(C778,customers[],4,0)</f>
        <v>Cincinnati</v>
      </c>
      <c r="G778">
        <v>29</v>
      </c>
      <c r="H778" s="17" t="s">
        <v>12</v>
      </c>
      <c r="I778" s="18">
        <v>45199</v>
      </c>
      <c r="J778">
        <v>80</v>
      </c>
      <c r="K778">
        <v>4.8</v>
      </c>
      <c r="L778">
        <f>IF(MONTH(calls[[#This Row],[Date of Call]])&lt;=6, YEAR(calls[[#This Row],[Date of Call]]), YEAR(calls[[#This Row],[Date of Call]])+1)</f>
        <v>2024</v>
      </c>
      <c r="M778" t="str">
        <f>TEXT(calls[[#This Row],[Date of Call]],"DDDD")</f>
        <v>السبت</v>
      </c>
      <c r="N778" t="str" cm="1">
        <f t="array" ref="N778">_xlfn.IFS(calls[[#This Row],[Duration]]&lt;=10,"Under 10 mins", calls[[#This Row],[Duration]]&lt;=30, "10 to 30 mins", calls[[#This Row],[Duration]]&lt;=60, "30 to 60 mins", calls[[#This Row],[Duration]]&lt;=120, "1 to 2 hours", TRUE, "More than 2 hours")</f>
        <v>10 to 30 mins</v>
      </c>
      <c r="O778">
        <f>ROUND(calls[[#This Row],[Satisfaction Rating]],0)</f>
        <v>5</v>
      </c>
    </row>
    <row r="779" spans="2:15" x14ac:dyDescent="0.25">
      <c r="B779" t="s">
        <v>800</v>
      </c>
      <c r="C779" t="s">
        <v>23</v>
      </c>
      <c r="D779">
        <f>VLOOKUP(C779,customers[],3,0)</f>
        <v>31</v>
      </c>
      <c r="E779" t="str">
        <f>VLOOKUP(C779,customers[],2,0)</f>
        <v>Male</v>
      </c>
      <c r="F779" t="str">
        <f>VLOOKUP(C779,customers[],4,0)</f>
        <v>Cleveland</v>
      </c>
      <c r="G779">
        <v>134</v>
      </c>
      <c r="H779" s="17" t="s">
        <v>5</v>
      </c>
      <c r="I779" s="18">
        <v>45199</v>
      </c>
      <c r="J779">
        <v>117</v>
      </c>
      <c r="K779">
        <v>4</v>
      </c>
      <c r="L779">
        <f>IF(MONTH(calls[[#This Row],[Date of Call]])&lt;=6, YEAR(calls[[#This Row],[Date of Call]]), YEAR(calls[[#This Row],[Date of Call]])+1)</f>
        <v>2024</v>
      </c>
      <c r="M779" t="str">
        <f>TEXT(calls[[#This Row],[Date of Call]],"DDDD")</f>
        <v>السبت</v>
      </c>
      <c r="N779" t="str" cm="1">
        <f t="array" ref="N779">_xlfn.IFS(calls[[#This Row],[Duration]]&lt;=10,"Under 10 mins", calls[[#This Row],[Duration]]&lt;=30, "10 to 30 mins", calls[[#This Row],[Duration]]&lt;=60, "30 to 60 mins", calls[[#This Row],[Duration]]&lt;=120, "1 to 2 hours", TRUE, "More than 2 hours")</f>
        <v>More than 2 hours</v>
      </c>
      <c r="O779">
        <f>ROUND(calls[[#This Row],[Satisfaction Rating]],0)</f>
        <v>4</v>
      </c>
    </row>
    <row r="780" spans="2:15" x14ac:dyDescent="0.25">
      <c r="B780" t="s">
        <v>801</v>
      </c>
      <c r="C780" t="s">
        <v>6</v>
      </c>
      <c r="D780">
        <f>VLOOKUP(C780,customers[],3,0)</f>
        <v>23</v>
      </c>
      <c r="E780" t="str">
        <f>VLOOKUP(C780,customers[],2,0)</f>
        <v>Male</v>
      </c>
      <c r="F780" t="str">
        <f>VLOOKUP(C780,customers[],4,0)</f>
        <v>Columbus</v>
      </c>
      <c r="G780">
        <v>113</v>
      </c>
      <c r="H780" s="17" t="s">
        <v>9</v>
      </c>
      <c r="I780" s="18">
        <v>45200</v>
      </c>
      <c r="J780">
        <v>40</v>
      </c>
      <c r="K780">
        <v>3</v>
      </c>
      <c r="L780">
        <f>IF(MONTH(calls[[#This Row],[Date of Call]])&lt;=6, YEAR(calls[[#This Row],[Date of Call]]), YEAR(calls[[#This Row],[Date of Call]])+1)</f>
        <v>2024</v>
      </c>
      <c r="M780" t="str">
        <f>TEXT(calls[[#This Row],[Date of Call]],"DDDD")</f>
        <v>الأحد</v>
      </c>
      <c r="N780" t="str" cm="1">
        <f t="array" ref="N780">_xlfn.IFS(calls[[#This Row],[Duration]]&lt;=10,"Under 10 mins", calls[[#This Row],[Duration]]&lt;=30, "10 to 30 mins", calls[[#This Row],[Duration]]&lt;=60, "30 to 60 mins", calls[[#This Row],[Duration]]&lt;=120, "1 to 2 hours", TRUE, "More than 2 hours")</f>
        <v>1 to 2 hours</v>
      </c>
      <c r="O780">
        <f>ROUND(calls[[#This Row],[Satisfaction Rating]],0)</f>
        <v>3</v>
      </c>
    </row>
    <row r="781" spans="2:15" x14ac:dyDescent="0.25">
      <c r="B781" t="s">
        <v>802</v>
      </c>
      <c r="C781" t="s">
        <v>16</v>
      </c>
      <c r="D781">
        <f>VLOOKUP(C781,customers[],3,0)</f>
        <v>41</v>
      </c>
      <c r="E781" t="str">
        <f>VLOOKUP(C781,customers[],2,0)</f>
        <v>Male</v>
      </c>
      <c r="F781" t="str">
        <f>VLOOKUP(C781,customers[],4,0)</f>
        <v>Columbus</v>
      </c>
      <c r="G781">
        <v>12</v>
      </c>
      <c r="H781" s="17" t="s">
        <v>5</v>
      </c>
      <c r="I781" s="18">
        <v>45200</v>
      </c>
      <c r="J781">
        <v>117</v>
      </c>
      <c r="K781">
        <v>4.8</v>
      </c>
      <c r="L781">
        <f>IF(MONTH(calls[[#This Row],[Date of Call]])&lt;=6, YEAR(calls[[#This Row],[Date of Call]]), YEAR(calls[[#This Row],[Date of Call]])+1)</f>
        <v>2024</v>
      </c>
      <c r="M781" t="str">
        <f>TEXT(calls[[#This Row],[Date of Call]],"DDDD")</f>
        <v>الأحد</v>
      </c>
      <c r="N781" t="str" cm="1">
        <f t="array" ref="N781">_xlfn.IFS(calls[[#This Row],[Duration]]&lt;=10,"Under 10 mins", calls[[#This Row],[Duration]]&lt;=30, "10 to 30 mins", calls[[#This Row],[Duration]]&lt;=60, "30 to 60 mins", calls[[#This Row],[Duration]]&lt;=120, "1 to 2 hours", TRUE, "More than 2 hours")</f>
        <v>10 to 30 mins</v>
      </c>
      <c r="O781">
        <f>ROUND(calls[[#This Row],[Satisfaction Rating]],0)</f>
        <v>5</v>
      </c>
    </row>
    <row r="782" spans="2:15" x14ac:dyDescent="0.25">
      <c r="B782" t="s">
        <v>803</v>
      </c>
      <c r="C782" t="s">
        <v>13</v>
      </c>
      <c r="D782">
        <f>VLOOKUP(C782,customers[],3,0)</f>
        <v>37</v>
      </c>
      <c r="E782" t="str">
        <f>VLOOKUP(C782,customers[],2,0)</f>
        <v>Female</v>
      </c>
      <c r="F782" t="str">
        <f>VLOOKUP(C782,customers[],4,0)</f>
        <v>Cleveland</v>
      </c>
      <c r="G782">
        <v>78</v>
      </c>
      <c r="H782" s="17" t="s">
        <v>12</v>
      </c>
      <c r="I782" s="18">
        <v>45200</v>
      </c>
      <c r="J782">
        <v>135</v>
      </c>
      <c r="K782">
        <v>4.0999999999999996</v>
      </c>
      <c r="L782">
        <f>IF(MONTH(calls[[#This Row],[Date of Call]])&lt;=6, YEAR(calls[[#This Row],[Date of Call]]), YEAR(calls[[#This Row],[Date of Call]])+1)</f>
        <v>2024</v>
      </c>
      <c r="M782" t="str">
        <f>TEXT(calls[[#This Row],[Date of Call]],"DDDD")</f>
        <v>الأحد</v>
      </c>
      <c r="N782" t="str" cm="1">
        <f t="array" ref="N782">_xlfn.IFS(calls[[#This Row],[Duration]]&lt;=10,"Under 10 mins", calls[[#This Row],[Duration]]&lt;=30, "10 to 30 mins", calls[[#This Row],[Duration]]&lt;=60, "30 to 60 mins", calls[[#This Row],[Duration]]&lt;=120, "1 to 2 hours", TRUE, "More than 2 hours")</f>
        <v>1 to 2 hours</v>
      </c>
      <c r="O782">
        <f>ROUND(calls[[#This Row],[Satisfaction Rating]],0)</f>
        <v>4</v>
      </c>
    </row>
    <row r="783" spans="2:15" x14ac:dyDescent="0.25">
      <c r="B783" t="s">
        <v>804</v>
      </c>
      <c r="C783" t="s">
        <v>18</v>
      </c>
      <c r="D783">
        <f>VLOOKUP(C783,customers[],3,0)</f>
        <v>43</v>
      </c>
      <c r="E783" t="str">
        <f>VLOOKUP(C783,customers[],2,0)</f>
        <v>Female</v>
      </c>
      <c r="F783" t="str">
        <f>VLOOKUP(C783,customers[],4,0)</f>
        <v>Cleveland</v>
      </c>
      <c r="G783">
        <v>82</v>
      </c>
      <c r="H783" s="17" t="s">
        <v>8</v>
      </c>
      <c r="I783" s="18">
        <v>45200</v>
      </c>
      <c r="J783">
        <v>99</v>
      </c>
      <c r="K783">
        <v>4.2</v>
      </c>
      <c r="L783">
        <f>IF(MONTH(calls[[#This Row],[Date of Call]])&lt;=6, YEAR(calls[[#This Row],[Date of Call]]), YEAR(calls[[#This Row],[Date of Call]])+1)</f>
        <v>2024</v>
      </c>
      <c r="M783" t="str">
        <f>TEXT(calls[[#This Row],[Date of Call]],"DDDD")</f>
        <v>الأحد</v>
      </c>
      <c r="N783" t="str" cm="1">
        <f t="array" ref="N783">_xlfn.IFS(calls[[#This Row],[Duration]]&lt;=10,"Under 10 mins", calls[[#This Row],[Duration]]&lt;=30, "10 to 30 mins", calls[[#This Row],[Duration]]&lt;=60, "30 to 60 mins", calls[[#This Row],[Duration]]&lt;=120, "1 to 2 hours", TRUE, "More than 2 hours")</f>
        <v>1 to 2 hours</v>
      </c>
      <c r="O783">
        <f>ROUND(calls[[#This Row],[Satisfaction Rating]],0)</f>
        <v>4</v>
      </c>
    </row>
    <row r="784" spans="2:15" x14ac:dyDescent="0.25">
      <c r="B784" t="s">
        <v>805</v>
      </c>
      <c r="C784" t="s">
        <v>17</v>
      </c>
      <c r="D784">
        <f>VLOOKUP(C784,customers[],3,0)</f>
        <v>30</v>
      </c>
      <c r="E784" t="str">
        <f>VLOOKUP(C784,customers[],2,0)</f>
        <v>Female</v>
      </c>
      <c r="F784" t="str">
        <f>VLOOKUP(C784,customers[],4,0)</f>
        <v>Cleveland</v>
      </c>
      <c r="G784">
        <v>149</v>
      </c>
      <c r="H784" s="17" t="s">
        <v>10</v>
      </c>
      <c r="I784" s="18">
        <v>45200</v>
      </c>
      <c r="J784">
        <v>130</v>
      </c>
      <c r="K784">
        <v>3.3</v>
      </c>
      <c r="L784">
        <f>IF(MONTH(calls[[#This Row],[Date of Call]])&lt;=6, YEAR(calls[[#This Row],[Date of Call]]), YEAR(calls[[#This Row],[Date of Call]])+1)</f>
        <v>2024</v>
      </c>
      <c r="M784" t="str">
        <f>TEXT(calls[[#This Row],[Date of Call]],"DDDD")</f>
        <v>الأحد</v>
      </c>
      <c r="N784" t="str" cm="1">
        <f t="array" ref="N784">_xlfn.IFS(calls[[#This Row],[Duration]]&lt;=10,"Under 10 mins", calls[[#This Row],[Duration]]&lt;=30, "10 to 30 mins", calls[[#This Row],[Duration]]&lt;=60, "30 to 60 mins", calls[[#This Row],[Duration]]&lt;=120, "1 to 2 hours", TRUE, "More than 2 hours")</f>
        <v>More than 2 hours</v>
      </c>
      <c r="O784">
        <f>ROUND(calls[[#This Row],[Satisfaction Rating]],0)</f>
        <v>3</v>
      </c>
    </row>
    <row r="785" spans="2:15" x14ac:dyDescent="0.25">
      <c r="B785" t="s">
        <v>806</v>
      </c>
      <c r="C785" t="s">
        <v>14</v>
      </c>
      <c r="D785">
        <f>VLOOKUP(C785,customers[],3,0)</f>
        <v>22</v>
      </c>
      <c r="E785" t="str">
        <f>VLOOKUP(C785,customers[],2,0)</f>
        <v>Female</v>
      </c>
      <c r="F785" t="str">
        <f>VLOOKUP(C785,customers[],4,0)</f>
        <v>Cleveland</v>
      </c>
      <c r="G785">
        <v>56</v>
      </c>
      <c r="H785" s="17" t="s">
        <v>5</v>
      </c>
      <c r="I785" s="18">
        <v>45200</v>
      </c>
      <c r="J785">
        <v>96</v>
      </c>
      <c r="K785">
        <v>4.7</v>
      </c>
      <c r="L785">
        <f>IF(MONTH(calls[[#This Row],[Date of Call]])&lt;=6, YEAR(calls[[#This Row],[Date of Call]]), YEAR(calls[[#This Row],[Date of Call]])+1)</f>
        <v>2024</v>
      </c>
      <c r="M785" t="str">
        <f>TEXT(calls[[#This Row],[Date of Call]],"DDDD")</f>
        <v>الأحد</v>
      </c>
      <c r="N785" t="str" cm="1">
        <f t="array" ref="N785">_xlfn.IFS(calls[[#This Row],[Duration]]&lt;=10,"Under 10 mins", calls[[#This Row],[Duration]]&lt;=30, "10 to 30 mins", calls[[#This Row],[Duration]]&lt;=60, "30 to 60 mins", calls[[#This Row],[Duration]]&lt;=120, "1 to 2 hours", TRUE, "More than 2 hours")</f>
        <v>30 to 60 mins</v>
      </c>
      <c r="O785">
        <f>ROUND(calls[[#This Row],[Satisfaction Rating]],0)</f>
        <v>5</v>
      </c>
    </row>
    <row r="786" spans="2:15" x14ac:dyDescent="0.25">
      <c r="B786" t="s">
        <v>807</v>
      </c>
      <c r="C786" t="s">
        <v>7</v>
      </c>
      <c r="D786">
        <f>VLOOKUP(C786,customers[],3,0)</f>
        <v>30</v>
      </c>
      <c r="E786" t="str">
        <f>VLOOKUP(C786,customers[],2,0)</f>
        <v>Female</v>
      </c>
      <c r="F786" t="str">
        <f>VLOOKUP(C786,customers[],4,0)</f>
        <v>Cincinnati</v>
      </c>
      <c r="G786">
        <v>80</v>
      </c>
      <c r="H786" s="17" t="s">
        <v>10</v>
      </c>
      <c r="I786" s="18">
        <v>45200</v>
      </c>
      <c r="J786">
        <v>128</v>
      </c>
      <c r="K786">
        <v>3.7</v>
      </c>
      <c r="L786">
        <f>IF(MONTH(calls[[#This Row],[Date of Call]])&lt;=6, YEAR(calls[[#This Row],[Date of Call]]), YEAR(calls[[#This Row],[Date of Call]])+1)</f>
        <v>2024</v>
      </c>
      <c r="M786" t="str">
        <f>TEXT(calls[[#This Row],[Date of Call]],"DDDD")</f>
        <v>الأحد</v>
      </c>
      <c r="N786" t="str" cm="1">
        <f t="array" ref="N786">_xlfn.IFS(calls[[#This Row],[Duration]]&lt;=10,"Under 10 mins", calls[[#This Row],[Duration]]&lt;=30, "10 to 30 mins", calls[[#This Row],[Duration]]&lt;=60, "30 to 60 mins", calls[[#This Row],[Duration]]&lt;=120, "1 to 2 hours", TRUE, "More than 2 hours")</f>
        <v>1 to 2 hours</v>
      </c>
      <c r="O786">
        <f>ROUND(calls[[#This Row],[Satisfaction Rating]],0)</f>
        <v>4</v>
      </c>
    </row>
    <row r="787" spans="2:15" x14ac:dyDescent="0.25">
      <c r="B787" t="s">
        <v>808</v>
      </c>
      <c r="C787" t="s">
        <v>4</v>
      </c>
      <c r="D787">
        <f>VLOOKUP(C787,customers[],3,0)</f>
        <v>42</v>
      </c>
      <c r="E787" t="str">
        <f>VLOOKUP(C787,customers[],2,0)</f>
        <v>Female</v>
      </c>
      <c r="F787" t="str">
        <f>VLOOKUP(C787,customers[],4,0)</f>
        <v>Cleveland</v>
      </c>
      <c r="G787">
        <v>131</v>
      </c>
      <c r="H787" s="17" t="s">
        <v>9</v>
      </c>
      <c r="I787" s="18">
        <v>45200</v>
      </c>
      <c r="J787">
        <v>69</v>
      </c>
      <c r="K787">
        <v>4.7</v>
      </c>
      <c r="L787">
        <f>IF(MONTH(calls[[#This Row],[Date of Call]])&lt;=6, YEAR(calls[[#This Row],[Date of Call]]), YEAR(calls[[#This Row],[Date of Call]])+1)</f>
        <v>2024</v>
      </c>
      <c r="M787" t="str">
        <f>TEXT(calls[[#This Row],[Date of Call]],"DDDD")</f>
        <v>الأحد</v>
      </c>
      <c r="N787" t="str" cm="1">
        <f t="array" ref="N787">_xlfn.IFS(calls[[#This Row],[Duration]]&lt;=10,"Under 10 mins", calls[[#This Row],[Duration]]&lt;=30, "10 to 30 mins", calls[[#This Row],[Duration]]&lt;=60, "30 to 60 mins", calls[[#This Row],[Duration]]&lt;=120, "1 to 2 hours", TRUE, "More than 2 hours")</f>
        <v>More than 2 hours</v>
      </c>
      <c r="O787">
        <f>ROUND(calls[[#This Row],[Satisfaction Rating]],0)</f>
        <v>5</v>
      </c>
    </row>
    <row r="788" spans="2:15" x14ac:dyDescent="0.25">
      <c r="B788" t="s">
        <v>809</v>
      </c>
      <c r="C788" t="s">
        <v>4</v>
      </c>
      <c r="D788">
        <f>VLOOKUP(C788,customers[],3,0)</f>
        <v>42</v>
      </c>
      <c r="E788" t="str">
        <f>VLOOKUP(C788,customers[],2,0)</f>
        <v>Female</v>
      </c>
      <c r="F788" t="str">
        <f>VLOOKUP(C788,customers[],4,0)</f>
        <v>Cleveland</v>
      </c>
      <c r="G788">
        <v>109</v>
      </c>
      <c r="H788" s="17" t="s">
        <v>9</v>
      </c>
      <c r="I788" s="18">
        <v>45200</v>
      </c>
      <c r="J788">
        <v>44</v>
      </c>
      <c r="K788">
        <v>4.5999999999999996</v>
      </c>
      <c r="L788">
        <f>IF(MONTH(calls[[#This Row],[Date of Call]])&lt;=6, YEAR(calls[[#This Row],[Date of Call]]), YEAR(calls[[#This Row],[Date of Call]])+1)</f>
        <v>2024</v>
      </c>
      <c r="M788" t="str">
        <f>TEXT(calls[[#This Row],[Date of Call]],"DDDD")</f>
        <v>الأحد</v>
      </c>
      <c r="N788" t="str" cm="1">
        <f t="array" ref="N788">_xlfn.IFS(calls[[#This Row],[Duration]]&lt;=10,"Under 10 mins", calls[[#This Row],[Duration]]&lt;=30, "10 to 30 mins", calls[[#This Row],[Duration]]&lt;=60, "30 to 60 mins", calls[[#This Row],[Duration]]&lt;=120, "1 to 2 hours", TRUE, "More than 2 hours")</f>
        <v>1 to 2 hours</v>
      </c>
      <c r="O788">
        <f>ROUND(calls[[#This Row],[Satisfaction Rating]],0)</f>
        <v>5</v>
      </c>
    </row>
    <row r="789" spans="2:15" x14ac:dyDescent="0.25">
      <c r="B789" t="s">
        <v>810</v>
      </c>
      <c r="C789" t="s">
        <v>14</v>
      </c>
      <c r="D789">
        <f>VLOOKUP(C789,customers[],3,0)</f>
        <v>22</v>
      </c>
      <c r="E789" t="str">
        <f>VLOOKUP(C789,customers[],2,0)</f>
        <v>Female</v>
      </c>
      <c r="F789" t="str">
        <f>VLOOKUP(C789,customers[],4,0)</f>
        <v>Cleveland</v>
      </c>
      <c r="G789">
        <v>142</v>
      </c>
      <c r="H789" s="17" t="s">
        <v>9</v>
      </c>
      <c r="I789" s="18">
        <v>45200</v>
      </c>
      <c r="J789">
        <v>44</v>
      </c>
      <c r="K789">
        <v>4.8</v>
      </c>
      <c r="L789">
        <f>IF(MONTH(calls[[#This Row],[Date of Call]])&lt;=6, YEAR(calls[[#This Row],[Date of Call]]), YEAR(calls[[#This Row],[Date of Call]])+1)</f>
        <v>2024</v>
      </c>
      <c r="M789" t="str">
        <f>TEXT(calls[[#This Row],[Date of Call]],"DDDD")</f>
        <v>الأحد</v>
      </c>
      <c r="N789" t="str" cm="1">
        <f t="array" ref="N789">_xlfn.IFS(calls[[#This Row],[Duration]]&lt;=10,"Under 10 mins", calls[[#This Row],[Duration]]&lt;=30, "10 to 30 mins", calls[[#This Row],[Duration]]&lt;=60, "30 to 60 mins", calls[[#This Row],[Duration]]&lt;=120, "1 to 2 hours", TRUE, "More than 2 hours")</f>
        <v>More than 2 hours</v>
      </c>
      <c r="O789">
        <f>ROUND(calls[[#This Row],[Satisfaction Rating]],0)</f>
        <v>5</v>
      </c>
    </row>
    <row r="790" spans="2:15" x14ac:dyDescent="0.25">
      <c r="B790" t="s">
        <v>811</v>
      </c>
      <c r="C790" t="s">
        <v>21</v>
      </c>
      <c r="D790">
        <f>VLOOKUP(C790,customers[],3,0)</f>
        <v>25</v>
      </c>
      <c r="E790" t="str">
        <f>VLOOKUP(C790,customers[],2,0)</f>
        <v>Female</v>
      </c>
      <c r="F790" t="str">
        <f>VLOOKUP(C790,customers[],4,0)</f>
        <v>Columbus</v>
      </c>
      <c r="G790">
        <v>114</v>
      </c>
      <c r="H790" s="17" t="s">
        <v>5</v>
      </c>
      <c r="I790" s="18">
        <v>45201</v>
      </c>
      <c r="J790">
        <v>135</v>
      </c>
      <c r="K790">
        <v>2</v>
      </c>
      <c r="L790">
        <f>IF(MONTH(calls[[#This Row],[Date of Call]])&lt;=6, YEAR(calls[[#This Row],[Date of Call]]), YEAR(calls[[#This Row],[Date of Call]])+1)</f>
        <v>2024</v>
      </c>
      <c r="M790" t="str">
        <f>TEXT(calls[[#This Row],[Date of Call]],"DDDD")</f>
        <v>الإثنين</v>
      </c>
      <c r="N790" t="str" cm="1">
        <f t="array" ref="N790">_xlfn.IFS(calls[[#This Row],[Duration]]&lt;=10,"Under 10 mins", calls[[#This Row],[Duration]]&lt;=30, "10 to 30 mins", calls[[#This Row],[Duration]]&lt;=60, "30 to 60 mins", calls[[#This Row],[Duration]]&lt;=120, "1 to 2 hours", TRUE, "More than 2 hours")</f>
        <v>1 to 2 hours</v>
      </c>
      <c r="O790">
        <f>ROUND(calls[[#This Row],[Satisfaction Rating]],0)</f>
        <v>2</v>
      </c>
    </row>
    <row r="791" spans="2:15" x14ac:dyDescent="0.25">
      <c r="B791" t="s">
        <v>812</v>
      </c>
      <c r="C791" t="s">
        <v>20</v>
      </c>
      <c r="D791">
        <f>VLOOKUP(C791,customers[],3,0)</f>
        <v>38</v>
      </c>
      <c r="E791" t="str">
        <f>VLOOKUP(C791,customers[],2,0)</f>
        <v>Female</v>
      </c>
      <c r="F791" t="str">
        <f>VLOOKUP(C791,customers[],4,0)</f>
        <v>Columbus</v>
      </c>
      <c r="G791">
        <v>93</v>
      </c>
      <c r="H791" s="17" t="s">
        <v>10</v>
      </c>
      <c r="I791" s="18">
        <v>45201</v>
      </c>
      <c r="J791">
        <v>45</v>
      </c>
      <c r="K791">
        <v>3.9</v>
      </c>
      <c r="L791">
        <f>IF(MONTH(calls[[#This Row],[Date of Call]])&lt;=6, YEAR(calls[[#This Row],[Date of Call]]), YEAR(calls[[#This Row],[Date of Call]])+1)</f>
        <v>2024</v>
      </c>
      <c r="M791" t="str">
        <f>TEXT(calls[[#This Row],[Date of Call]],"DDDD")</f>
        <v>الإثنين</v>
      </c>
      <c r="N791" t="str" cm="1">
        <f t="array" ref="N791">_xlfn.IFS(calls[[#This Row],[Duration]]&lt;=10,"Under 10 mins", calls[[#This Row],[Duration]]&lt;=30, "10 to 30 mins", calls[[#This Row],[Duration]]&lt;=60, "30 to 60 mins", calls[[#This Row],[Duration]]&lt;=120, "1 to 2 hours", TRUE, "More than 2 hours")</f>
        <v>1 to 2 hours</v>
      </c>
      <c r="O791">
        <f>ROUND(calls[[#This Row],[Satisfaction Rating]],0)</f>
        <v>4</v>
      </c>
    </row>
    <row r="792" spans="2:15" x14ac:dyDescent="0.25">
      <c r="B792" t="s">
        <v>813</v>
      </c>
      <c r="C792" t="s">
        <v>16</v>
      </c>
      <c r="D792">
        <f>VLOOKUP(C792,customers[],3,0)</f>
        <v>41</v>
      </c>
      <c r="E792" t="str">
        <f>VLOOKUP(C792,customers[],2,0)</f>
        <v>Male</v>
      </c>
      <c r="F792" t="str">
        <f>VLOOKUP(C792,customers[],4,0)</f>
        <v>Columbus</v>
      </c>
      <c r="G792">
        <v>43</v>
      </c>
      <c r="H792" s="17" t="s">
        <v>10</v>
      </c>
      <c r="I792" s="18">
        <v>45201</v>
      </c>
      <c r="J792">
        <v>87</v>
      </c>
      <c r="K792">
        <v>3</v>
      </c>
      <c r="L792">
        <f>IF(MONTH(calls[[#This Row],[Date of Call]])&lt;=6, YEAR(calls[[#This Row],[Date of Call]]), YEAR(calls[[#This Row],[Date of Call]])+1)</f>
        <v>2024</v>
      </c>
      <c r="M792" t="str">
        <f>TEXT(calls[[#This Row],[Date of Call]],"DDDD")</f>
        <v>الإثنين</v>
      </c>
      <c r="N792" t="str" cm="1">
        <f t="array" ref="N792">_xlfn.IFS(calls[[#This Row],[Duration]]&lt;=10,"Under 10 mins", calls[[#This Row],[Duration]]&lt;=30, "10 to 30 mins", calls[[#This Row],[Duration]]&lt;=60, "30 to 60 mins", calls[[#This Row],[Duration]]&lt;=120, "1 to 2 hours", TRUE, "More than 2 hours")</f>
        <v>30 to 60 mins</v>
      </c>
      <c r="O792">
        <f>ROUND(calls[[#This Row],[Satisfaction Rating]],0)</f>
        <v>3</v>
      </c>
    </row>
    <row r="793" spans="2:15" x14ac:dyDescent="0.25">
      <c r="B793" t="s">
        <v>814</v>
      </c>
      <c r="C793" t="s">
        <v>23</v>
      </c>
      <c r="D793">
        <f>VLOOKUP(C793,customers[],3,0)</f>
        <v>31</v>
      </c>
      <c r="E793" t="str">
        <f>VLOOKUP(C793,customers[],2,0)</f>
        <v>Male</v>
      </c>
      <c r="F793" t="str">
        <f>VLOOKUP(C793,customers[],4,0)</f>
        <v>Cleveland</v>
      </c>
      <c r="G793">
        <v>78</v>
      </c>
      <c r="H793" s="17" t="s">
        <v>12</v>
      </c>
      <c r="I793" s="18">
        <v>45202</v>
      </c>
      <c r="J793">
        <v>84</v>
      </c>
      <c r="K793">
        <v>4.5999999999999996</v>
      </c>
      <c r="L793">
        <f>IF(MONTH(calls[[#This Row],[Date of Call]])&lt;=6, YEAR(calls[[#This Row],[Date of Call]]), YEAR(calls[[#This Row],[Date of Call]])+1)</f>
        <v>2024</v>
      </c>
      <c r="M793" t="str">
        <f>TEXT(calls[[#This Row],[Date of Call]],"DDDD")</f>
        <v>الثلاثاء</v>
      </c>
      <c r="N793" t="str" cm="1">
        <f t="array" ref="N793">_xlfn.IFS(calls[[#This Row],[Duration]]&lt;=10,"Under 10 mins", calls[[#This Row],[Duration]]&lt;=30, "10 to 30 mins", calls[[#This Row],[Duration]]&lt;=60, "30 to 60 mins", calls[[#This Row],[Duration]]&lt;=120, "1 to 2 hours", TRUE, "More than 2 hours")</f>
        <v>1 to 2 hours</v>
      </c>
      <c r="O793">
        <f>ROUND(calls[[#This Row],[Satisfaction Rating]],0)</f>
        <v>5</v>
      </c>
    </row>
    <row r="794" spans="2:15" x14ac:dyDescent="0.25">
      <c r="B794" t="s">
        <v>815</v>
      </c>
      <c r="C794" t="s">
        <v>21</v>
      </c>
      <c r="D794">
        <f>VLOOKUP(C794,customers[],3,0)</f>
        <v>25</v>
      </c>
      <c r="E794" t="str">
        <f>VLOOKUP(C794,customers[],2,0)</f>
        <v>Female</v>
      </c>
      <c r="F794" t="str">
        <f>VLOOKUP(C794,customers[],4,0)</f>
        <v>Columbus</v>
      </c>
      <c r="G794">
        <v>89</v>
      </c>
      <c r="H794" s="17" t="s">
        <v>9</v>
      </c>
      <c r="I794" s="18">
        <v>45202</v>
      </c>
      <c r="J794">
        <v>81</v>
      </c>
      <c r="K794">
        <v>3.8</v>
      </c>
      <c r="L794">
        <f>IF(MONTH(calls[[#This Row],[Date of Call]])&lt;=6, YEAR(calls[[#This Row],[Date of Call]]), YEAR(calls[[#This Row],[Date of Call]])+1)</f>
        <v>2024</v>
      </c>
      <c r="M794" t="str">
        <f>TEXT(calls[[#This Row],[Date of Call]],"DDDD")</f>
        <v>الثلاثاء</v>
      </c>
      <c r="N794" t="str" cm="1">
        <f t="array" ref="N794">_xlfn.IFS(calls[[#This Row],[Duration]]&lt;=10,"Under 10 mins", calls[[#This Row],[Duration]]&lt;=30, "10 to 30 mins", calls[[#This Row],[Duration]]&lt;=60, "30 to 60 mins", calls[[#This Row],[Duration]]&lt;=120, "1 to 2 hours", TRUE, "More than 2 hours")</f>
        <v>1 to 2 hours</v>
      </c>
      <c r="O794">
        <f>ROUND(calls[[#This Row],[Satisfaction Rating]],0)</f>
        <v>4</v>
      </c>
    </row>
    <row r="795" spans="2:15" x14ac:dyDescent="0.25">
      <c r="B795" t="s">
        <v>816</v>
      </c>
      <c r="C795" t="s">
        <v>14</v>
      </c>
      <c r="D795">
        <f>VLOOKUP(C795,customers[],3,0)</f>
        <v>22</v>
      </c>
      <c r="E795" t="str">
        <f>VLOOKUP(C795,customers[],2,0)</f>
        <v>Female</v>
      </c>
      <c r="F795" t="str">
        <f>VLOOKUP(C795,customers[],4,0)</f>
        <v>Cleveland</v>
      </c>
      <c r="G795">
        <v>82</v>
      </c>
      <c r="H795" s="17" t="s">
        <v>8</v>
      </c>
      <c r="I795" s="18">
        <v>45202</v>
      </c>
      <c r="J795">
        <v>130</v>
      </c>
      <c r="K795">
        <v>4.4000000000000004</v>
      </c>
      <c r="L795">
        <f>IF(MONTH(calls[[#This Row],[Date of Call]])&lt;=6, YEAR(calls[[#This Row],[Date of Call]]), YEAR(calls[[#This Row],[Date of Call]])+1)</f>
        <v>2024</v>
      </c>
      <c r="M795" t="str">
        <f>TEXT(calls[[#This Row],[Date of Call]],"DDDD")</f>
        <v>الثلاثاء</v>
      </c>
      <c r="N795" t="str" cm="1">
        <f t="array" ref="N795">_xlfn.IFS(calls[[#This Row],[Duration]]&lt;=10,"Under 10 mins", calls[[#This Row],[Duration]]&lt;=30, "10 to 30 mins", calls[[#This Row],[Duration]]&lt;=60, "30 to 60 mins", calls[[#This Row],[Duration]]&lt;=120, "1 to 2 hours", TRUE, "More than 2 hours")</f>
        <v>1 to 2 hours</v>
      </c>
      <c r="O795">
        <f>ROUND(calls[[#This Row],[Satisfaction Rating]],0)</f>
        <v>4</v>
      </c>
    </row>
    <row r="796" spans="2:15" x14ac:dyDescent="0.25">
      <c r="B796" t="s">
        <v>817</v>
      </c>
      <c r="C796" t="s">
        <v>7</v>
      </c>
      <c r="D796">
        <f>VLOOKUP(C796,customers[],3,0)</f>
        <v>30</v>
      </c>
      <c r="E796" t="str">
        <f>VLOOKUP(C796,customers[],2,0)</f>
        <v>Female</v>
      </c>
      <c r="F796" t="str">
        <f>VLOOKUP(C796,customers[],4,0)</f>
        <v>Cincinnati</v>
      </c>
      <c r="G796">
        <v>86</v>
      </c>
      <c r="H796" s="17" t="s">
        <v>9</v>
      </c>
      <c r="I796" s="18">
        <v>45203</v>
      </c>
      <c r="J796">
        <v>92</v>
      </c>
      <c r="K796">
        <v>2.4</v>
      </c>
      <c r="L796">
        <f>IF(MONTH(calls[[#This Row],[Date of Call]])&lt;=6, YEAR(calls[[#This Row],[Date of Call]]), YEAR(calls[[#This Row],[Date of Call]])+1)</f>
        <v>2024</v>
      </c>
      <c r="M796" t="str">
        <f>TEXT(calls[[#This Row],[Date of Call]],"DDDD")</f>
        <v>الأربعاء</v>
      </c>
      <c r="N796" t="str" cm="1">
        <f t="array" ref="N796">_xlfn.IFS(calls[[#This Row],[Duration]]&lt;=10,"Under 10 mins", calls[[#This Row],[Duration]]&lt;=30, "10 to 30 mins", calls[[#This Row],[Duration]]&lt;=60, "30 to 60 mins", calls[[#This Row],[Duration]]&lt;=120, "1 to 2 hours", TRUE, "More than 2 hours")</f>
        <v>1 to 2 hours</v>
      </c>
      <c r="O796">
        <f>ROUND(calls[[#This Row],[Satisfaction Rating]],0)</f>
        <v>2</v>
      </c>
    </row>
    <row r="797" spans="2:15" x14ac:dyDescent="0.25">
      <c r="B797" t="s">
        <v>818</v>
      </c>
      <c r="C797" t="s">
        <v>15</v>
      </c>
      <c r="D797">
        <f>VLOOKUP(C797,customers[],3,0)</f>
        <v>28</v>
      </c>
      <c r="E797" t="str">
        <f>VLOOKUP(C797,customers[],2,0)</f>
        <v>Female</v>
      </c>
      <c r="F797" t="str">
        <f>VLOOKUP(C797,customers[],4,0)</f>
        <v>Cincinnati</v>
      </c>
      <c r="G797">
        <v>57</v>
      </c>
      <c r="H797" s="17" t="s">
        <v>12</v>
      </c>
      <c r="I797" s="18">
        <v>45203</v>
      </c>
      <c r="J797">
        <v>48</v>
      </c>
      <c r="K797">
        <v>4.5</v>
      </c>
      <c r="L797">
        <f>IF(MONTH(calls[[#This Row],[Date of Call]])&lt;=6, YEAR(calls[[#This Row],[Date of Call]]), YEAR(calls[[#This Row],[Date of Call]])+1)</f>
        <v>2024</v>
      </c>
      <c r="M797" t="str">
        <f>TEXT(calls[[#This Row],[Date of Call]],"DDDD")</f>
        <v>الأربعاء</v>
      </c>
      <c r="N797" t="str" cm="1">
        <f t="array" ref="N797">_xlfn.IFS(calls[[#This Row],[Duration]]&lt;=10,"Under 10 mins", calls[[#This Row],[Duration]]&lt;=30, "10 to 30 mins", calls[[#This Row],[Duration]]&lt;=60, "30 to 60 mins", calls[[#This Row],[Duration]]&lt;=120, "1 to 2 hours", TRUE, "More than 2 hours")</f>
        <v>30 to 60 mins</v>
      </c>
      <c r="O797">
        <f>ROUND(calls[[#This Row],[Satisfaction Rating]],0)</f>
        <v>5</v>
      </c>
    </row>
    <row r="798" spans="2:15" x14ac:dyDescent="0.25">
      <c r="B798" t="s">
        <v>819</v>
      </c>
      <c r="C798" t="s">
        <v>20</v>
      </c>
      <c r="D798">
        <f>VLOOKUP(C798,customers[],3,0)</f>
        <v>38</v>
      </c>
      <c r="E798" t="str">
        <f>VLOOKUP(C798,customers[],2,0)</f>
        <v>Female</v>
      </c>
      <c r="F798" t="str">
        <f>VLOOKUP(C798,customers[],4,0)</f>
        <v>Columbus</v>
      </c>
      <c r="G798">
        <v>103</v>
      </c>
      <c r="H798" s="17" t="s">
        <v>5</v>
      </c>
      <c r="I798" s="18">
        <v>45203</v>
      </c>
      <c r="J798">
        <v>160</v>
      </c>
      <c r="K798">
        <v>4.5</v>
      </c>
      <c r="L798">
        <f>IF(MONTH(calls[[#This Row],[Date of Call]])&lt;=6, YEAR(calls[[#This Row],[Date of Call]]), YEAR(calls[[#This Row],[Date of Call]])+1)</f>
        <v>2024</v>
      </c>
      <c r="M798" t="str">
        <f>TEXT(calls[[#This Row],[Date of Call]],"DDDD")</f>
        <v>الأربعاء</v>
      </c>
      <c r="N798" t="str" cm="1">
        <f t="array" ref="N798">_xlfn.IFS(calls[[#This Row],[Duration]]&lt;=10,"Under 10 mins", calls[[#This Row],[Duration]]&lt;=30, "10 to 30 mins", calls[[#This Row],[Duration]]&lt;=60, "30 to 60 mins", calls[[#This Row],[Duration]]&lt;=120, "1 to 2 hours", TRUE, "More than 2 hours")</f>
        <v>1 to 2 hours</v>
      </c>
      <c r="O798">
        <f>ROUND(calls[[#This Row],[Satisfaction Rating]],0)</f>
        <v>5</v>
      </c>
    </row>
    <row r="799" spans="2:15" x14ac:dyDescent="0.25">
      <c r="B799" t="s">
        <v>820</v>
      </c>
      <c r="C799" t="s">
        <v>13</v>
      </c>
      <c r="D799">
        <f>VLOOKUP(C799,customers[],3,0)</f>
        <v>37</v>
      </c>
      <c r="E799" t="str">
        <f>VLOOKUP(C799,customers[],2,0)</f>
        <v>Female</v>
      </c>
      <c r="F799" t="str">
        <f>VLOOKUP(C799,customers[],4,0)</f>
        <v>Cleveland</v>
      </c>
      <c r="G799">
        <v>138</v>
      </c>
      <c r="H799" s="17" t="s">
        <v>12</v>
      </c>
      <c r="I799" s="18">
        <v>45204</v>
      </c>
      <c r="J799">
        <v>155</v>
      </c>
      <c r="K799">
        <v>2.7</v>
      </c>
      <c r="L799">
        <f>IF(MONTH(calls[[#This Row],[Date of Call]])&lt;=6, YEAR(calls[[#This Row],[Date of Call]]), YEAR(calls[[#This Row],[Date of Call]])+1)</f>
        <v>2024</v>
      </c>
      <c r="M799" t="str">
        <f>TEXT(calls[[#This Row],[Date of Call]],"DDDD")</f>
        <v>الخميس</v>
      </c>
      <c r="N799" t="str" cm="1">
        <f t="array" ref="N799">_xlfn.IFS(calls[[#This Row],[Duration]]&lt;=10,"Under 10 mins", calls[[#This Row],[Duration]]&lt;=30, "10 to 30 mins", calls[[#This Row],[Duration]]&lt;=60, "30 to 60 mins", calls[[#This Row],[Duration]]&lt;=120, "1 to 2 hours", TRUE, "More than 2 hours")</f>
        <v>More than 2 hours</v>
      </c>
      <c r="O799">
        <f>ROUND(calls[[#This Row],[Satisfaction Rating]],0)</f>
        <v>3</v>
      </c>
    </row>
    <row r="800" spans="2:15" x14ac:dyDescent="0.25">
      <c r="B800" t="s">
        <v>821</v>
      </c>
      <c r="C800" t="s">
        <v>17</v>
      </c>
      <c r="D800">
        <f>VLOOKUP(C800,customers[],3,0)</f>
        <v>30</v>
      </c>
      <c r="E800" t="str">
        <f>VLOOKUP(C800,customers[],2,0)</f>
        <v>Female</v>
      </c>
      <c r="F800" t="str">
        <f>VLOOKUP(C800,customers[],4,0)</f>
        <v>Cleveland</v>
      </c>
      <c r="G800">
        <v>88</v>
      </c>
      <c r="H800" s="17" t="s">
        <v>8</v>
      </c>
      <c r="I800" s="18">
        <v>45204</v>
      </c>
      <c r="J800">
        <v>100</v>
      </c>
      <c r="K800">
        <v>4.9000000000000004</v>
      </c>
      <c r="L800">
        <f>IF(MONTH(calls[[#This Row],[Date of Call]])&lt;=6, YEAR(calls[[#This Row],[Date of Call]]), YEAR(calls[[#This Row],[Date of Call]])+1)</f>
        <v>2024</v>
      </c>
      <c r="M800" t="str">
        <f>TEXT(calls[[#This Row],[Date of Call]],"DDDD")</f>
        <v>الخميس</v>
      </c>
      <c r="N800" t="str" cm="1">
        <f t="array" ref="N800">_xlfn.IFS(calls[[#This Row],[Duration]]&lt;=10,"Under 10 mins", calls[[#This Row],[Duration]]&lt;=30, "10 to 30 mins", calls[[#This Row],[Duration]]&lt;=60, "30 to 60 mins", calls[[#This Row],[Duration]]&lt;=120, "1 to 2 hours", TRUE, "More than 2 hours")</f>
        <v>1 to 2 hours</v>
      </c>
      <c r="O800">
        <f>ROUND(calls[[#This Row],[Satisfaction Rating]],0)</f>
        <v>5</v>
      </c>
    </row>
    <row r="801" spans="2:15" x14ac:dyDescent="0.25">
      <c r="B801" t="s">
        <v>822</v>
      </c>
      <c r="C801" t="s">
        <v>21</v>
      </c>
      <c r="D801">
        <f>VLOOKUP(C801,customers[],3,0)</f>
        <v>25</v>
      </c>
      <c r="E801" t="str">
        <f>VLOOKUP(C801,customers[],2,0)</f>
        <v>Female</v>
      </c>
      <c r="F801" t="str">
        <f>VLOOKUP(C801,customers[],4,0)</f>
        <v>Columbus</v>
      </c>
      <c r="G801">
        <v>118</v>
      </c>
      <c r="H801" s="17" t="s">
        <v>10</v>
      </c>
      <c r="I801" s="18">
        <v>45204</v>
      </c>
      <c r="J801">
        <v>56</v>
      </c>
      <c r="K801">
        <v>3.7</v>
      </c>
      <c r="L801">
        <f>IF(MONTH(calls[[#This Row],[Date of Call]])&lt;=6, YEAR(calls[[#This Row],[Date of Call]]), YEAR(calls[[#This Row],[Date of Call]])+1)</f>
        <v>2024</v>
      </c>
      <c r="M801" t="str">
        <f>TEXT(calls[[#This Row],[Date of Call]],"DDDD")</f>
        <v>الخميس</v>
      </c>
      <c r="N801" t="str" cm="1">
        <f t="array" ref="N801">_xlfn.IFS(calls[[#This Row],[Duration]]&lt;=10,"Under 10 mins", calls[[#This Row],[Duration]]&lt;=30, "10 to 30 mins", calls[[#This Row],[Duration]]&lt;=60, "30 to 60 mins", calls[[#This Row],[Duration]]&lt;=120, "1 to 2 hours", TRUE, "More than 2 hours")</f>
        <v>1 to 2 hours</v>
      </c>
      <c r="O801">
        <f>ROUND(calls[[#This Row],[Satisfaction Rating]],0)</f>
        <v>4</v>
      </c>
    </row>
    <row r="802" spans="2:15" x14ac:dyDescent="0.25">
      <c r="B802" t="s">
        <v>823</v>
      </c>
      <c r="C802" t="s">
        <v>7</v>
      </c>
      <c r="D802">
        <f>VLOOKUP(C802,customers[],3,0)</f>
        <v>30</v>
      </c>
      <c r="E802" t="str">
        <f>VLOOKUP(C802,customers[],2,0)</f>
        <v>Female</v>
      </c>
      <c r="F802" t="str">
        <f>VLOOKUP(C802,customers[],4,0)</f>
        <v>Cincinnati</v>
      </c>
      <c r="G802">
        <v>4</v>
      </c>
      <c r="H802" s="17" t="s">
        <v>9</v>
      </c>
      <c r="I802" s="18">
        <v>45204</v>
      </c>
      <c r="J802">
        <v>170</v>
      </c>
      <c r="K802">
        <v>3.9</v>
      </c>
      <c r="L802">
        <f>IF(MONTH(calls[[#This Row],[Date of Call]])&lt;=6, YEAR(calls[[#This Row],[Date of Call]]), YEAR(calls[[#This Row],[Date of Call]])+1)</f>
        <v>2024</v>
      </c>
      <c r="M802" t="str">
        <f>TEXT(calls[[#This Row],[Date of Call]],"DDDD")</f>
        <v>الخميس</v>
      </c>
      <c r="N802" t="str" cm="1">
        <f t="array" ref="N802">_xlfn.IFS(calls[[#This Row],[Duration]]&lt;=10,"Under 10 mins", calls[[#This Row],[Duration]]&lt;=30, "10 to 30 mins", calls[[#This Row],[Duration]]&lt;=60, "30 to 60 mins", calls[[#This Row],[Duration]]&lt;=120, "1 to 2 hours", TRUE, "More than 2 hours")</f>
        <v>Under 10 mins</v>
      </c>
      <c r="O802">
        <f>ROUND(calls[[#This Row],[Satisfaction Rating]],0)</f>
        <v>4</v>
      </c>
    </row>
    <row r="803" spans="2:15" x14ac:dyDescent="0.25">
      <c r="B803" t="s">
        <v>824</v>
      </c>
      <c r="C803" t="s">
        <v>16</v>
      </c>
      <c r="D803">
        <f>VLOOKUP(C803,customers[],3,0)</f>
        <v>41</v>
      </c>
      <c r="E803" t="str">
        <f>VLOOKUP(C803,customers[],2,0)</f>
        <v>Male</v>
      </c>
      <c r="F803" t="str">
        <f>VLOOKUP(C803,customers[],4,0)</f>
        <v>Columbus</v>
      </c>
      <c r="G803">
        <v>78</v>
      </c>
      <c r="H803" s="17" t="s">
        <v>5</v>
      </c>
      <c r="I803" s="18">
        <v>45205</v>
      </c>
      <c r="J803">
        <v>74</v>
      </c>
      <c r="K803">
        <v>3.5</v>
      </c>
      <c r="L803">
        <f>IF(MONTH(calls[[#This Row],[Date of Call]])&lt;=6, YEAR(calls[[#This Row],[Date of Call]]), YEAR(calls[[#This Row],[Date of Call]])+1)</f>
        <v>2024</v>
      </c>
      <c r="M803" t="str">
        <f>TEXT(calls[[#This Row],[Date of Call]],"DDDD")</f>
        <v>الجمعة</v>
      </c>
      <c r="N803" t="str" cm="1">
        <f t="array" ref="N803">_xlfn.IFS(calls[[#This Row],[Duration]]&lt;=10,"Under 10 mins", calls[[#This Row],[Duration]]&lt;=30, "10 to 30 mins", calls[[#This Row],[Duration]]&lt;=60, "30 to 60 mins", calls[[#This Row],[Duration]]&lt;=120, "1 to 2 hours", TRUE, "More than 2 hours")</f>
        <v>1 to 2 hours</v>
      </c>
      <c r="O803">
        <f>ROUND(calls[[#This Row],[Satisfaction Rating]],0)</f>
        <v>4</v>
      </c>
    </row>
    <row r="804" spans="2:15" x14ac:dyDescent="0.25">
      <c r="B804" t="s">
        <v>825</v>
      </c>
      <c r="C804" t="s">
        <v>6</v>
      </c>
      <c r="D804">
        <f>VLOOKUP(C804,customers[],3,0)</f>
        <v>23</v>
      </c>
      <c r="E804" t="str">
        <f>VLOOKUP(C804,customers[],2,0)</f>
        <v>Male</v>
      </c>
      <c r="F804" t="str">
        <f>VLOOKUP(C804,customers[],4,0)</f>
        <v>Columbus</v>
      </c>
      <c r="G804">
        <v>69</v>
      </c>
      <c r="H804" s="17" t="s">
        <v>9</v>
      </c>
      <c r="I804" s="18">
        <v>45205</v>
      </c>
      <c r="J804">
        <v>99</v>
      </c>
      <c r="K804">
        <v>2.7</v>
      </c>
      <c r="L804">
        <f>IF(MONTH(calls[[#This Row],[Date of Call]])&lt;=6, YEAR(calls[[#This Row],[Date of Call]]), YEAR(calls[[#This Row],[Date of Call]])+1)</f>
        <v>2024</v>
      </c>
      <c r="M804" t="str">
        <f>TEXT(calls[[#This Row],[Date of Call]],"DDDD")</f>
        <v>الجمعة</v>
      </c>
      <c r="N804" t="str" cm="1">
        <f t="array" ref="N804">_xlfn.IFS(calls[[#This Row],[Duration]]&lt;=10,"Under 10 mins", calls[[#This Row],[Duration]]&lt;=30, "10 to 30 mins", calls[[#This Row],[Duration]]&lt;=60, "30 to 60 mins", calls[[#This Row],[Duration]]&lt;=120, "1 to 2 hours", TRUE, "More than 2 hours")</f>
        <v>1 to 2 hours</v>
      </c>
      <c r="O804">
        <f>ROUND(calls[[#This Row],[Satisfaction Rating]],0)</f>
        <v>3</v>
      </c>
    </row>
    <row r="805" spans="2:15" x14ac:dyDescent="0.25">
      <c r="B805" t="s">
        <v>826</v>
      </c>
      <c r="C805" t="s">
        <v>14</v>
      </c>
      <c r="D805">
        <f>VLOOKUP(C805,customers[],3,0)</f>
        <v>22</v>
      </c>
      <c r="E805" t="str">
        <f>VLOOKUP(C805,customers[],2,0)</f>
        <v>Female</v>
      </c>
      <c r="F805" t="str">
        <f>VLOOKUP(C805,customers[],4,0)</f>
        <v>Cleveland</v>
      </c>
      <c r="G805">
        <v>90</v>
      </c>
      <c r="H805" s="17" t="s">
        <v>12</v>
      </c>
      <c r="I805" s="18">
        <v>45205</v>
      </c>
      <c r="J805">
        <v>84</v>
      </c>
      <c r="K805">
        <v>3.9</v>
      </c>
      <c r="L805">
        <f>IF(MONTH(calls[[#This Row],[Date of Call]])&lt;=6, YEAR(calls[[#This Row],[Date of Call]]), YEAR(calls[[#This Row],[Date of Call]])+1)</f>
        <v>2024</v>
      </c>
      <c r="M805" t="str">
        <f>TEXT(calls[[#This Row],[Date of Call]],"DDDD")</f>
        <v>الجمعة</v>
      </c>
      <c r="N805" t="str" cm="1">
        <f t="array" ref="N805">_xlfn.IFS(calls[[#This Row],[Duration]]&lt;=10,"Under 10 mins", calls[[#This Row],[Duration]]&lt;=30, "10 to 30 mins", calls[[#This Row],[Duration]]&lt;=60, "30 to 60 mins", calls[[#This Row],[Duration]]&lt;=120, "1 to 2 hours", TRUE, "More than 2 hours")</f>
        <v>1 to 2 hours</v>
      </c>
      <c r="O805">
        <f>ROUND(calls[[#This Row],[Satisfaction Rating]],0)</f>
        <v>4</v>
      </c>
    </row>
    <row r="806" spans="2:15" x14ac:dyDescent="0.25">
      <c r="B806" t="s">
        <v>827</v>
      </c>
      <c r="C806" t="s">
        <v>6</v>
      </c>
      <c r="D806">
        <f>VLOOKUP(C806,customers[],3,0)</f>
        <v>23</v>
      </c>
      <c r="E806" t="str">
        <f>VLOOKUP(C806,customers[],2,0)</f>
        <v>Male</v>
      </c>
      <c r="F806" t="str">
        <f>VLOOKUP(C806,customers[],4,0)</f>
        <v>Columbus</v>
      </c>
      <c r="G806">
        <v>134</v>
      </c>
      <c r="H806" s="17" t="s">
        <v>9</v>
      </c>
      <c r="I806" s="18">
        <v>45205</v>
      </c>
      <c r="J806">
        <v>35</v>
      </c>
      <c r="K806">
        <v>3.4</v>
      </c>
      <c r="L806">
        <f>IF(MONTH(calls[[#This Row],[Date of Call]])&lt;=6, YEAR(calls[[#This Row],[Date of Call]]), YEAR(calls[[#This Row],[Date of Call]])+1)</f>
        <v>2024</v>
      </c>
      <c r="M806" t="str">
        <f>TEXT(calls[[#This Row],[Date of Call]],"DDDD")</f>
        <v>الجمعة</v>
      </c>
      <c r="N806" t="str" cm="1">
        <f t="array" ref="N806">_xlfn.IFS(calls[[#This Row],[Duration]]&lt;=10,"Under 10 mins", calls[[#This Row],[Duration]]&lt;=30, "10 to 30 mins", calls[[#This Row],[Duration]]&lt;=60, "30 to 60 mins", calls[[#This Row],[Duration]]&lt;=120, "1 to 2 hours", TRUE, "More than 2 hours")</f>
        <v>More than 2 hours</v>
      </c>
      <c r="O806">
        <f>ROUND(calls[[#This Row],[Satisfaction Rating]],0)</f>
        <v>3</v>
      </c>
    </row>
    <row r="807" spans="2:15" x14ac:dyDescent="0.25">
      <c r="B807" t="s">
        <v>828</v>
      </c>
      <c r="C807" t="s">
        <v>11</v>
      </c>
      <c r="D807">
        <f>VLOOKUP(C807,customers[],3,0)</f>
        <v>36</v>
      </c>
      <c r="E807" t="str">
        <f>VLOOKUP(C807,customers[],2,0)</f>
        <v>Male</v>
      </c>
      <c r="F807" t="str">
        <f>VLOOKUP(C807,customers[],4,0)</f>
        <v>Cincinnati</v>
      </c>
      <c r="G807">
        <v>65</v>
      </c>
      <c r="H807" s="17" t="s">
        <v>10</v>
      </c>
      <c r="I807" s="18">
        <v>45205</v>
      </c>
      <c r="J807">
        <v>150</v>
      </c>
      <c r="K807">
        <v>5</v>
      </c>
      <c r="L807">
        <f>IF(MONTH(calls[[#This Row],[Date of Call]])&lt;=6, YEAR(calls[[#This Row],[Date of Call]]), YEAR(calls[[#This Row],[Date of Call]])+1)</f>
        <v>2024</v>
      </c>
      <c r="M807" t="str">
        <f>TEXT(calls[[#This Row],[Date of Call]],"DDDD")</f>
        <v>الجمعة</v>
      </c>
      <c r="N807" t="str" cm="1">
        <f t="array" ref="N807">_xlfn.IFS(calls[[#This Row],[Duration]]&lt;=10,"Under 10 mins", calls[[#This Row],[Duration]]&lt;=30, "10 to 30 mins", calls[[#This Row],[Duration]]&lt;=60, "30 to 60 mins", calls[[#This Row],[Duration]]&lt;=120, "1 to 2 hours", TRUE, "More than 2 hours")</f>
        <v>1 to 2 hours</v>
      </c>
      <c r="O807">
        <f>ROUND(calls[[#This Row],[Satisfaction Rating]],0)</f>
        <v>5</v>
      </c>
    </row>
    <row r="808" spans="2:15" x14ac:dyDescent="0.25">
      <c r="B808" t="s">
        <v>829</v>
      </c>
      <c r="C808" t="s">
        <v>22</v>
      </c>
      <c r="D808">
        <f>VLOOKUP(C808,customers[],3,0)</f>
        <v>37</v>
      </c>
      <c r="E808" t="str">
        <f>VLOOKUP(C808,customers[],2,0)</f>
        <v>Male</v>
      </c>
      <c r="F808" t="str">
        <f>VLOOKUP(C808,customers[],4,0)</f>
        <v>Columbus</v>
      </c>
      <c r="G808">
        <v>54</v>
      </c>
      <c r="H808" s="17" t="s">
        <v>5</v>
      </c>
      <c r="I808" s="18">
        <v>45206</v>
      </c>
      <c r="J808">
        <v>176</v>
      </c>
      <c r="K808">
        <v>4.4000000000000004</v>
      </c>
      <c r="L808">
        <f>IF(MONTH(calls[[#This Row],[Date of Call]])&lt;=6, YEAR(calls[[#This Row],[Date of Call]]), YEAR(calls[[#This Row],[Date of Call]])+1)</f>
        <v>2024</v>
      </c>
      <c r="M808" t="str">
        <f>TEXT(calls[[#This Row],[Date of Call]],"DDDD")</f>
        <v>السبت</v>
      </c>
      <c r="N808" t="str" cm="1">
        <f t="array" ref="N808">_xlfn.IFS(calls[[#This Row],[Duration]]&lt;=10,"Under 10 mins", calls[[#This Row],[Duration]]&lt;=30, "10 to 30 mins", calls[[#This Row],[Duration]]&lt;=60, "30 to 60 mins", calls[[#This Row],[Duration]]&lt;=120, "1 to 2 hours", TRUE, "More than 2 hours")</f>
        <v>30 to 60 mins</v>
      </c>
      <c r="O808">
        <f>ROUND(calls[[#This Row],[Satisfaction Rating]],0)</f>
        <v>4</v>
      </c>
    </row>
    <row r="809" spans="2:15" x14ac:dyDescent="0.25">
      <c r="B809" t="s">
        <v>830</v>
      </c>
      <c r="C809" t="s">
        <v>22</v>
      </c>
      <c r="D809">
        <f>VLOOKUP(C809,customers[],3,0)</f>
        <v>37</v>
      </c>
      <c r="E809" t="str">
        <f>VLOOKUP(C809,customers[],2,0)</f>
        <v>Male</v>
      </c>
      <c r="F809" t="str">
        <f>VLOOKUP(C809,customers[],4,0)</f>
        <v>Columbus</v>
      </c>
      <c r="G809">
        <v>90</v>
      </c>
      <c r="H809" s="17" t="s">
        <v>5</v>
      </c>
      <c r="I809" s="18">
        <v>45206</v>
      </c>
      <c r="J809">
        <v>84</v>
      </c>
      <c r="K809">
        <v>4.3</v>
      </c>
      <c r="L809">
        <f>IF(MONTH(calls[[#This Row],[Date of Call]])&lt;=6, YEAR(calls[[#This Row],[Date of Call]]), YEAR(calls[[#This Row],[Date of Call]])+1)</f>
        <v>2024</v>
      </c>
      <c r="M809" t="str">
        <f>TEXT(calls[[#This Row],[Date of Call]],"DDDD")</f>
        <v>السبت</v>
      </c>
      <c r="N809" t="str" cm="1">
        <f t="array" ref="N809">_xlfn.IFS(calls[[#This Row],[Duration]]&lt;=10,"Under 10 mins", calls[[#This Row],[Duration]]&lt;=30, "10 to 30 mins", calls[[#This Row],[Duration]]&lt;=60, "30 to 60 mins", calls[[#This Row],[Duration]]&lt;=120, "1 to 2 hours", TRUE, "More than 2 hours")</f>
        <v>1 to 2 hours</v>
      </c>
      <c r="O809">
        <f>ROUND(calls[[#This Row],[Satisfaction Rating]],0)</f>
        <v>4</v>
      </c>
    </row>
    <row r="810" spans="2:15" x14ac:dyDescent="0.25">
      <c r="B810" t="s">
        <v>831</v>
      </c>
      <c r="C810" t="s">
        <v>14</v>
      </c>
      <c r="D810">
        <f>VLOOKUP(C810,customers[],3,0)</f>
        <v>22</v>
      </c>
      <c r="E810" t="str">
        <f>VLOOKUP(C810,customers[],2,0)</f>
        <v>Female</v>
      </c>
      <c r="F810" t="str">
        <f>VLOOKUP(C810,customers[],4,0)</f>
        <v>Cleveland</v>
      </c>
      <c r="G810">
        <v>66</v>
      </c>
      <c r="H810" s="17" t="s">
        <v>5</v>
      </c>
      <c r="I810" s="18">
        <v>45206</v>
      </c>
      <c r="J810">
        <v>136</v>
      </c>
      <c r="K810">
        <v>4.7</v>
      </c>
      <c r="L810">
        <f>IF(MONTH(calls[[#This Row],[Date of Call]])&lt;=6, YEAR(calls[[#This Row],[Date of Call]]), YEAR(calls[[#This Row],[Date of Call]])+1)</f>
        <v>2024</v>
      </c>
      <c r="M810" t="str">
        <f>TEXT(calls[[#This Row],[Date of Call]],"DDDD")</f>
        <v>السبت</v>
      </c>
      <c r="N810" t="str" cm="1">
        <f t="array" ref="N810">_xlfn.IFS(calls[[#This Row],[Duration]]&lt;=10,"Under 10 mins", calls[[#This Row],[Duration]]&lt;=30, "10 to 30 mins", calls[[#This Row],[Duration]]&lt;=60, "30 to 60 mins", calls[[#This Row],[Duration]]&lt;=120, "1 to 2 hours", TRUE, "More than 2 hours")</f>
        <v>1 to 2 hours</v>
      </c>
      <c r="O810">
        <f>ROUND(calls[[#This Row],[Satisfaction Rating]],0)</f>
        <v>5</v>
      </c>
    </row>
    <row r="811" spans="2:15" x14ac:dyDescent="0.25">
      <c r="B811" t="s">
        <v>832</v>
      </c>
      <c r="C811" t="s">
        <v>7</v>
      </c>
      <c r="D811">
        <f>VLOOKUP(C811,customers[],3,0)</f>
        <v>30</v>
      </c>
      <c r="E811" t="str">
        <f>VLOOKUP(C811,customers[],2,0)</f>
        <v>Female</v>
      </c>
      <c r="F811" t="str">
        <f>VLOOKUP(C811,customers[],4,0)</f>
        <v>Cincinnati</v>
      </c>
      <c r="G811">
        <v>150</v>
      </c>
      <c r="H811" s="17" t="s">
        <v>5</v>
      </c>
      <c r="I811" s="18">
        <v>45207</v>
      </c>
      <c r="J811">
        <v>70</v>
      </c>
      <c r="K811">
        <v>4.0999999999999996</v>
      </c>
      <c r="L811">
        <f>IF(MONTH(calls[[#This Row],[Date of Call]])&lt;=6, YEAR(calls[[#This Row],[Date of Call]]), YEAR(calls[[#This Row],[Date of Call]])+1)</f>
        <v>2024</v>
      </c>
      <c r="M811" t="str">
        <f>TEXT(calls[[#This Row],[Date of Call]],"DDDD")</f>
        <v>الأحد</v>
      </c>
      <c r="N811" t="str" cm="1">
        <f t="array" ref="N811">_xlfn.IFS(calls[[#This Row],[Duration]]&lt;=10,"Under 10 mins", calls[[#This Row],[Duration]]&lt;=30, "10 to 30 mins", calls[[#This Row],[Duration]]&lt;=60, "30 to 60 mins", calls[[#This Row],[Duration]]&lt;=120, "1 to 2 hours", TRUE, "More than 2 hours")</f>
        <v>More than 2 hours</v>
      </c>
      <c r="O811">
        <f>ROUND(calls[[#This Row],[Satisfaction Rating]],0)</f>
        <v>4</v>
      </c>
    </row>
    <row r="812" spans="2:15" x14ac:dyDescent="0.25">
      <c r="B812" t="s">
        <v>833</v>
      </c>
      <c r="C812" t="s">
        <v>23</v>
      </c>
      <c r="D812">
        <f>VLOOKUP(C812,customers[],3,0)</f>
        <v>31</v>
      </c>
      <c r="E812" t="str">
        <f>VLOOKUP(C812,customers[],2,0)</f>
        <v>Male</v>
      </c>
      <c r="F812" t="str">
        <f>VLOOKUP(C812,customers[],4,0)</f>
        <v>Cleveland</v>
      </c>
      <c r="G812">
        <v>18</v>
      </c>
      <c r="H812" s="17" t="s">
        <v>10</v>
      </c>
      <c r="I812" s="18">
        <v>45207</v>
      </c>
      <c r="J812">
        <v>96</v>
      </c>
      <c r="K812">
        <v>4.8</v>
      </c>
      <c r="L812">
        <f>IF(MONTH(calls[[#This Row],[Date of Call]])&lt;=6, YEAR(calls[[#This Row],[Date of Call]]), YEAR(calls[[#This Row],[Date of Call]])+1)</f>
        <v>2024</v>
      </c>
      <c r="M812" t="str">
        <f>TEXT(calls[[#This Row],[Date of Call]],"DDDD")</f>
        <v>الأحد</v>
      </c>
      <c r="N812" t="str" cm="1">
        <f t="array" ref="N812">_xlfn.IFS(calls[[#This Row],[Duration]]&lt;=10,"Under 10 mins", calls[[#This Row],[Duration]]&lt;=30, "10 to 30 mins", calls[[#This Row],[Duration]]&lt;=60, "30 to 60 mins", calls[[#This Row],[Duration]]&lt;=120, "1 to 2 hours", TRUE, "More than 2 hours")</f>
        <v>10 to 30 mins</v>
      </c>
      <c r="O812">
        <f>ROUND(calls[[#This Row],[Satisfaction Rating]],0)</f>
        <v>5</v>
      </c>
    </row>
    <row r="813" spans="2:15" x14ac:dyDescent="0.25">
      <c r="B813" t="s">
        <v>834</v>
      </c>
      <c r="C813" t="s">
        <v>22</v>
      </c>
      <c r="D813">
        <f>VLOOKUP(C813,customers[],3,0)</f>
        <v>37</v>
      </c>
      <c r="E813" t="str">
        <f>VLOOKUP(C813,customers[],2,0)</f>
        <v>Male</v>
      </c>
      <c r="F813" t="str">
        <f>VLOOKUP(C813,customers[],4,0)</f>
        <v>Columbus</v>
      </c>
      <c r="G813">
        <v>87</v>
      </c>
      <c r="H813" s="17" t="s">
        <v>10</v>
      </c>
      <c r="I813" s="18">
        <v>45207</v>
      </c>
      <c r="J813">
        <v>23</v>
      </c>
      <c r="K813">
        <v>4.2</v>
      </c>
      <c r="L813">
        <f>IF(MONTH(calls[[#This Row],[Date of Call]])&lt;=6, YEAR(calls[[#This Row],[Date of Call]]), YEAR(calls[[#This Row],[Date of Call]])+1)</f>
        <v>2024</v>
      </c>
      <c r="M813" t="str">
        <f>TEXT(calls[[#This Row],[Date of Call]],"DDDD")</f>
        <v>الأحد</v>
      </c>
      <c r="N813" t="str" cm="1">
        <f t="array" ref="N813">_xlfn.IFS(calls[[#This Row],[Duration]]&lt;=10,"Under 10 mins", calls[[#This Row],[Duration]]&lt;=30, "10 to 30 mins", calls[[#This Row],[Duration]]&lt;=60, "30 to 60 mins", calls[[#This Row],[Duration]]&lt;=120, "1 to 2 hours", TRUE, "More than 2 hours")</f>
        <v>1 to 2 hours</v>
      </c>
      <c r="O813">
        <f>ROUND(calls[[#This Row],[Satisfaction Rating]],0)</f>
        <v>4</v>
      </c>
    </row>
    <row r="814" spans="2:15" x14ac:dyDescent="0.25">
      <c r="B814" t="s">
        <v>835</v>
      </c>
      <c r="C814" t="s">
        <v>13</v>
      </c>
      <c r="D814">
        <f>VLOOKUP(C814,customers[],3,0)</f>
        <v>37</v>
      </c>
      <c r="E814" t="str">
        <f>VLOOKUP(C814,customers[],2,0)</f>
        <v>Female</v>
      </c>
      <c r="F814" t="str">
        <f>VLOOKUP(C814,customers[],4,0)</f>
        <v>Cleveland</v>
      </c>
      <c r="G814">
        <v>94</v>
      </c>
      <c r="H814" s="17" t="s">
        <v>5</v>
      </c>
      <c r="I814" s="18">
        <v>45208</v>
      </c>
      <c r="J814">
        <v>120</v>
      </c>
      <c r="K814">
        <v>3.4</v>
      </c>
      <c r="L814">
        <f>IF(MONTH(calls[[#This Row],[Date of Call]])&lt;=6, YEAR(calls[[#This Row],[Date of Call]]), YEAR(calls[[#This Row],[Date of Call]])+1)</f>
        <v>2024</v>
      </c>
      <c r="M814" t="str">
        <f>TEXT(calls[[#This Row],[Date of Call]],"DDDD")</f>
        <v>الإثنين</v>
      </c>
      <c r="N814" t="str" cm="1">
        <f t="array" ref="N814">_xlfn.IFS(calls[[#This Row],[Duration]]&lt;=10,"Under 10 mins", calls[[#This Row],[Duration]]&lt;=30, "10 to 30 mins", calls[[#This Row],[Duration]]&lt;=60, "30 to 60 mins", calls[[#This Row],[Duration]]&lt;=120, "1 to 2 hours", TRUE, "More than 2 hours")</f>
        <v>1 to 2 hours</v>
      </c>
      <c r="O814">
        <f>ROUND(calls[[#This Row],[Satisfaction Rating]],0)</f>
        <v>3</v>
      </c>
    </row>
    <row r="815" spans="2:15" x14ac:dyDescent="0.25">
      <c r="B815" t="s">
        <v>836</v>
      </c>
      <c r="C815" t="s">
        <v>15</v>
      </c>
      <c r="D815">
        <f>VLOOKUP(C815,customers[],3,0)</f>
        <v>28</v>
      </c>
      <c r="E815" t="str">
        <f>VLOOKUP(C815,customers[],2,0)</f>
        <v>Female</v>
      </c>
      <c r="F815" t="str">
        <f>VLOOKUP(C815,customers[],4,0)</f>
        <v>Cincinnati</v>
      </c>
      <c r="G815">
        <v>56</v>
      </c>
      <c r="H815" s="17" t="s">
        <v>5</v>
      </c>
      <c r="I815" s="18">
        <v>45208</v>
      </c>
      <c r="J815">
        <v>205</v>
      </c>
      <c r="K815">
        <v>3.3</v>
      </c>
      <c r="L815">
        <f>IF(MONTH(calls[[#This Row],[Date of Call]])&lt;=6, YEAR(calls[[#This Row],[Date of Call]]), YEAR(calls[[#This Row],[Date of Call]])+1)</f>
        <v>2024</v>
      </c>
      <c r="M815" t="str">
        <f>TEXT(calls[[#This Row],[Date of Call]],"DDDD")</f>
        <v>الإثنين</v>
      </c>
      <c r="N815" t="str" cm="1">
        <f t="array" ref="N815">_xlfn.IFS(calls[[#This Row],[Duration]]&lt;=10,"Under 10 mins", calls[[#This Row],[Duration]]&lt;=30, "10 to 30 mins", calls[[#This Row],[Duration]]&lt;=60, "30 to 60 mins", calls[[#This Row],[Duration]]&lt;=120, "1 to 2 hours", TRUE, "More than 2 hours")</f>
        <v>30 to 60 mins</v>
      </c>
      <c r="O815">
        <f>ROUND(calls[[#This Row],[Satisfaction Rating]],0)</f>
        <v>3</v>
      </c>
    </row>
    <row r="816" spans="2:15" x14ac:dyDescent="0.25">
      <c r="B816" t="s">
        <v>837</v>
      </c>
      <c r="C816" t="s">
        <v>21</v>
      </c>
      <c r="D816">
        <f>VLOOKUP(C816,customers[],3,0)</f>
        <v>25</v>
      </c>
      <c r="E816" t="str">
        <f>VLOOKUP(C816,customers[],2,0)</f>
        <v>Female</v>
      </c>
      <c r="F816" t="str">
        <f>VLOOKUP(C816,customers[],4,0)</f>
        <v>Columbus</v>
      </c>
      <c r="G816">
        <v>41</v>
      </c>
      <c r="H816" s="17" t="s">
        <v>8</v>
      </c>
      <c r="I816" s="18">
        <v>45209</v>
      </c>
      <c r="J816">
        <v>42</v>
      </c>
      <c r="K816">
        <v>3.8</v>
      </c>
      <c r="L816">
        <f>IF(MONTH(calls[[#This Row],[Date of Call]])&lt;=6, YEAR(calls[[#This Row],[Date of Call]]), YEAR(calls[[#This Row],[Date of Call]])+1)</f>
        <v>2024</v>
      </c>
      <c r="M816" t="str">
        <f>TEXT(calls[[#This Row],[Date of Call]],"DDDD")</f>
        <v>الثلاثاء</v>
      </c>
      <c r="N816" t="str" cm="1">
        <f t="array" ref="N816">_xlfn.IFS(calls[[#This Row],[Duration]]&lt;=10,"Under 10 mins", calls[[#This Row],[Duration]]&lt;=30, "10 to 30 mins", calls[[#This Row],[Duration]]&lt;=60, "30 to 60 mins", calls[[#This Row],[Duration]]&lt;=120, "1 to 2 hours", TRUE, "More than 2 hours")</f>
        <v>30 to 60 mins</v>
      </c>
      <c r="O816">
        <f>ROUND(calls[[#This Row],[Satisfaction Rating]],0)</f>
        <v>4</v>
      </c>
    </row>
    <row r="817" spans="2:15" x14ac:dyDescent="0.25">
      <c r="B817" t="s">
        <v>838</v>
      </c>
      <c r="C817" t="s">
        <v>7</v>
      </c>
      <c r="D817">
        <f>VLOOKUP(C817,customers[],3,0)</f>
        <v>30</v>
      </c>
      <c r="E817" t="str">
        <f>VLOOKUP(C817,customers[],2,0)</f>
        <v>Female</v>
      </c>
      <c r="F817" t="str">
        <f>VLOOKUP(C817,customers[],4,0)</f>
        <v>Cincinnati</v>
      </c>
      <c r="G817">
        <v>119</v>
      </c>
      <c r="H817" s="17" t="s">
        <v>12</v>
      </c>
      <c r="I817" s="18">
        <v>45209</v>
      </c>
      <c r="J817">
        <v>111</v>
      </c>
      <c r="K817">
        <v>3.9</v>
      </c>
      <c r="L817">
        <f>IF(MONTH(calls[[#This Row],[Date of Call]])&lt;=6, YEAR(calls[[#This Row],[Date of Call]]), YEAR(calls[[#This Row],[Date of Call]])+1)</f>
        <v>2024</v>
      </c>
      <c r="M817" t="str">
        <f>TEXT(calls[[#This Row],[Date of Call]],"DDDD")</f>
        <v>الثلاثاء</v>
      </c>
      <c r="N817" t="str" cm="1">
        <f t="array" ref="N817">_xlfn.IFS(calls[[#This Row],[Duration]]&lt;=10,"Under 10 mins", calls[[#This Row],[Duration]]&lt;=30, "10 to 30 mins", calls[[#This Row],[Duration]]&lt;=60, "30 to 60 mins", calls[[#This Row],[Duration]]&lt;=120, "1 to 2 hours", TRUE, "More than 2 hours")</f>
        <v>1 to 2 hours</v>
      </c>
      <c r="O817">
        <f>ROUND(calls[[#This Row],[Satisfaction Rating]],0)</f>
        <v>4</v>
      </c>
    </row>
    <row r="818" spans="2:15" x14ac:dyDescent="0.25">
      <c r="B818" t="s">
        <v>839</v>
      </c>
      <c r="C818" t="s">
        <v>20</v>
      </c>
      <c r="D818">
        <f>VLOOKUP(C818,customers[],3,0)</f>
        <v>38</v>
      </c>
      <c r="E818" t="str">
        <f>VLOOKUP(C818,customers[],2,0)</f>
        <v>Female</v>
      </c>
      <c r="F818" t="str">
        <f>VLOOKUP(C818,customers[],4,0)</f>
        <v>Columbus</v>
      </c>
      <c r="G818">
        <v>108</v>
      </c>
      <c r="H818" s="17" t="s">
        <v>5</v>
      </c>
      <c r="I818" s="18">
        <v>45209</v>
      </c>
      <c r="J818">
        <v>68</v>
      </c>
      <c r="K818">
        <v>2.5</v>
      </c>
      <c r="L818">
        <f>IF(MONTH(calls[[#This Row],[Date of Call]])&lt;=6, YEAR(calls[[#This Row],[Date of Call]]), YEAR(calls[[#This Row],[Date of Call]])+1)</f>
        <v>2024</v>
      </c>
      <c r="M818" t="str">
        <f>TEXT(calls[[#This Row],[Date of Call]],"DDDD")</f>
        <v>الثلاثاء</v>
      </c>
      <c r="N818" t="str" cm="1">
        <f t="array" ref="N818">_xlfn.IFS(calls[[#This Row],[Duration]]&lt;=10,"Under 10 mins", calls[[#This Row],[Duration]]&lt;=30, "10 to 30 mins", calls[[#This Row],[Duration]]&lt;=60, "30 to 60 mins", calls[[#This Row],[Duration]]&lt;=120, "1 to 2 hours", TRUE, "More than 2 hours")</f>
        <v>1 to 2 hours</v>
      </c>
      <c r="O818">
        <f>ROUND(calls[[#This Row],[Satisfaction Rating]],0)</f>
        <v>3</v>
      </c>
    </row>
    <row r="819" spans="2:15" x14ac:dyDescent="0.25">
      <c r="B819" t="s">
        <v>840</v>
      </c>
      <c r="C819" t="s">
        <v>16</v>
      </c>
      <c r="D819">
        <f>VLOOKUP(C819,customers[],3,0)</f>
        <v>41</v>
      </c>
      <c r="E819" t="str">
        <f>VLOOKUP(C819,customers[],2,0)</f>
        <v>Male</v>
      </c>
      <c r="F819" t="str">
        <f>VLOOKUP(C819,customers[],4,0)</f>
        <v>Columbus</v>
      </c>
      <c r="G819">
        <v>63</v>
      </c>
      <c r="H819" s="17" t="s">
        <v>9</v>
      </c>
      <c r="I819" s="18">
        <v>45209</v>
      </c>
      <c r="J819">
        <v>172</v>
      </c>
      <c r="K819">
        <v>4.9000000000000004</v>
      </c>
      <c r="L819">
        <f>IF(MONTH(calls[[#This Row],[Date of Call]])&lt;=6, YEAR(calls[[#This Row],[Date of Call]]), YEAR(calls[[#This Row],[Date of Call]])+1)</f>
        <v>2024</v>
      </c>
      <c r="M819" t="str">
        <f>TEXT(calls[[#This Row],[Date of Call]],"DDDD")</f>
        <v>الثلاثاء</v>
      </c>
      <c r="N819" t="str" cm="1">
        <f t="array" ref="N819">_xlfn.IFS(calls[[#This Row],[Duration]]&lt;=10,"Under 10 mins", calls[[#This Row],[Duration]]&lt;=30, "10 to 30 mins", calls[[#This Row],[Duration]]&lt;=60, "30 to 60 mins", calls[[#This Row],[Duration]]&lt;=120, "1 to 2 hours", TRUE, "More than 2 hours")</f>
        <v>1 to 2 hours</v>
      </c>
      <c r="O819">
        <f>ROUND(calls[[#This Row],[Satisfaction Rating]],0)</f>
        <v>5</v>
      </c>
    </row>
    <row r="820" spans="2:15" x14ac:dyDescent="0.25">
      <c r="B820" t="s">
        <v>841</v>
      </c>
      <c r="C820" t="s">
        <v>18</v>
      </c>
      <c r="D820">
        <f>VLOOKUP(C820,customers[],3,0)</f>
        <v>43</v>
      </c>
      <c r="E820" t="str">
        <f>VLOOKUP(C820,customers[],2,0)</f>
        <v>Female</v>
      </c>
      <c r="F820" t="str">
        <f>VLOOKUP(C820,customers[],4,0)</f>
        <v>Cleveland</v>
      </c>
      <c r="G820">
        <v>59</v>
      </c>
      <c r="H820" s="17" t="s">
        <v>5</v>
      </c>
      <c r="I820" s="18">
        <v>45209</v>
      </c>
      <c r="J820">
        <v>152</v>
      </c>
      <c r="K820">
        <v>4.8</v>
      </c>
      <c r="L820">
        <f>IF(MONTH(calls[[#This Row],[Date of Call]])&lt;=6, YEAR(calls[[#This Row],[Date of Call]]), YEAR(calls[[#This Row],[Date of Call]])+1)</f>
        <v>2024</v>
      </c>
      <c r="M820" t="str">
        <f>TEXT(calls[[#This Row],[Date of Call]],"DDDD")</f>
        <v>الثلاثاء</v>
      </c>
      <c r="N820" t="str" cm="1">
        <f t="array" ref="N820">_xlfn.IFS(calls[[#This Row],[Duration]]&lt;=10,"Under 10 mins", calls[[#This Row],[Duration]]&lt;=30, "10 to 30 mins", calls[[#This Row],[Duration]]&lt;=60, "30 to 60 mins", calls[[#This Row],[Duration]]&lt;=120, "1 to 2 hours", TRUE, "More than 2 hours")</f>
        <v>30 to 60 mins</v>
      </c>
      <c r="O820">
        <f>ROUND(calls[[#This Row],[Satisfaction Rating]],0)</f>
        <v>5</v>
      </c>
    </row>
    <row r="821" spans="2:15" x14ac:dyDescent="0.25">
      <c r="B821" t="s">
        <v>842</v>
      </c>
      <c r="C821" t="s">
        <v>18</v>
      </c>
      <c r="D821">
        <f>VLOOKUP(C821,customers[],3,0)</f>
        <v>43</v>
      </c>
      <c r="E821" t="str">
        <f>VLOOKUP(C821,customers[],2,0)</f>
        <v>Female</v>
      </c>
      <c r="F821" t="str">
        <f>VLOOKUP(C821,customers[],4,0)</f>
        <v>Cleveland</v>
      </c>
      <c r="G821">
        <v>90</v>
      </c>
      <c r="H821" s="17" t="s">
        <v>8</v>
      </c>
      <c r="I821" s="18">
        <v>45209</v>
      </c>
      <c r="J821">
        <v>48</v>
      </c>
      <c r="K821">
        <v>4.7</v>
      </c>
      <c r="L821">
        <f>IF(MONTH(calls[[#This Row],[Date of Call]])&lt;=6, YEAR(calls[[#This Row],[Date of Call]]), YEAR(calls[[#This Row],[Date of Call]])+1)</f>
        <v>2024</v>
      </c>
      <c r="M821" t="str">
        <f>TEXT(calls[[#This Row],[Date of Call]],"DDDD")</f>
        <v>الثلاثاء</v>
      </c>
      <c r="N821" t="str" cm="1">
        <f t="array" ref="N821">_xlfn.IFS(calls[[#This Row],[Duration]]&lt;=10,"Under 10 mins", calls[[#This Row],[Duration]]&lt;=30, "10 to 30 mins", calls[[#This Row],[Duration]]&lt;=60, "30 to 60 mins", calls[[#This Row],[Duration]]&lt;=120, "1 to 2 hours", TRUE, "More than 2 hours")</f>
        <v>1 to 2 hours</v>
      </c>
      <c r="O821">
        <f>ROUND(calls[[#This Row],[Satisfaction Rating]],0)</f>
        <v>5</v>
      </c>
    </row>
    <row r="822" spans="2:15" x14ac:dyDescent="0.25">
      <c r="B822" t="s">
        <v>843</v>
      </c>
      <c r="C822" t="s">
        <v>17</v>
      </c>
      <c r="D822">
        <f>VLOOKUP(C822,customers[],3,0)</f>
        <v>30</v>
      </c>
      <c r="E822" t="str">
        <f>VLOOKUP(C822,customers[],2,0)</f>
        <v>Female</v>
      </c>
      <c r="F822" t="str">
        <f>VLOOKUP(C822,customers[],4,0)</f>
        <v>Cleveland</v>
      </c>
      <c r="G822">
        <v>55</v>
      </c>
      <c r="H822" s="17" t="s">
        <v>8</v>
      </c>
      <c r="I822" s="18">
        <v>45209</v>
      </c>
      <c r="J822">
        <v>25</v>
      </c>
      <c r="K822">
        <v>4.7</v>
      </c>
      <c r="L822">
        <f>IF(MONTH(calls[[#This Row],[Date of Call]])&lt;=6, YEAR(calls[[#This Row],[Date of Call]]), YEAR(calls[[#This Row],[Date of Call]])+1)</f>
        <v>2024</v>
      </c>
      <c r="M822" t="str">
        <f>TEXT(calls[[#This Row],[Date of Call]],"DDDD")</f>
        <v>الثلاثاء</v>
      </c>
      <c r="N822" t="str" cm="1">
        <f t="array" ref="N822">_xlfn.IFS(calls[[#This Row],[Duration]]&lt;=10,"Under 10 mins", calls[[#This Row],[Duration]]&lt;=30, "10 to 30 mins", calls[[#This Row],[Duration]]&lt;=60, "30 to 60 mins", calls[[#This Row],[Duration]]&lt;=120, "1 to 2 hours", TRUE, "More than 2 hours")</f>
        <v>30 to 60 mins</v>
      </c>
      <c r="O822">
        <f>ROUND(calls[[#This Row],[Satisfaction Rating]],0)</f>
        <v>5</v>
      </c>
    </row>
    <row r="823" spans="2:15" x14ac:dyDescent="0.25">
      <c r="B823" t="s">
        <v>844</v>
      </c>
      <c r="C823" t="s">
        <v>20</v>
      </c>
      <c r="D823">
        <f>VLOOKUP(C823,customers[],3,0)</f>
        <v>38</v>
      </c>
      <c r="E823" t="str">
        <f>VLOOKUP(C823,customers[],2,0)</f>
        <v>Female</v>
      </c>
      <c r="F823" t="str">
        <f>VLOOKUP(C823,customers[],4,0)</f>
        <v>Columbus</v>
      </c>
      <c r="G823">
        <v>84</v>
      </c>
      <c r="H823" s="17" t="s">
        <v>12</v>
      </c>
      <c r="I823" s="18">
        <v>45210</v>
      </c>
      <c r="J823">
        <v>54</v>
      </c>
      <c r="K823">
        <v>3.3</v>
      </c>
      <c r="L823">
        <f>IF(MONTH(calls[[#This Row],[Date of Call]])&lt;=6, YEAR(calls[[#This Row],[Date of Call]]), YEAR(calls[[#This Row],[Date of Call]])+1)</f>
        <v>2024</v>
      </c>
      <c r="M823" t="str">
        <f>TEXT(calls[[#This Row],[Date of Call]],"DDDD")</f>
        <v>الأربعاء</v>
      </c>
      <c r="N823" t="str" cm="1">
        <f t="array" ref="N823">_xlfn.IFS(calls[[#This Row],[Duration]]&lt;=10,"Under 10 mins", calls[[#This Row],[Duration]]&lt;=30, "10 to 30 mins", calls[[#This Row],[Duration]]&lt;=60, "30 to 60 mins", calls[[#This Row],[Duration]]&lt;=120, "1 to 2 hours", TRUE, "More than 2 hours")</f>
        <v>1 to 2 hours</v>
      </c>
      <c r="O823">
        <f>ROUND(calls[[#This Row],[Satisfaction Rating]],0)</f>
        <v>3</v>
      </c>
    </row>
    <row r="824" spans="2:15" x14ac:dyDescent="0.25">
      <c r="B824" t="s">
        <v>845</v>
      </c>
      <c r="C824" t="s">
        <v>20</v>
      </c>
      <c r="D824">
        <f>VLOOKUP(C824,customers[],3,0)</f>
        <v>38</v>
      </c>
      <c r="E824" t="str">
        <f>VLOOKUP(C824,customers[],2,0)</f>
        <v>Female</v>
      </c>
      <c r="F824" t="str">
        <f>VLOOKUP(C824,customers[],4,0)</f>
        <v>Columbus</v>
      </c>
      <c r="G824">
        <v>150</v>
      </c>
      <c r="H824" s="17" t="s">
        <v>10</v>
      </c>
      <c r="I824" s="18">
        <v>45210</v>
      </c>
      <c r="J824">
        <v>108</v>
      </c>
      <c r="K824">
        <v>4.7</v>
      </c>
      <c r="L824">
        <f>IF(MONTH(calls[[#This Row],[Date of Call]])&lt;=6, YEAR(calls[[#This Row],[Date of Call]]), YEAR(calls[[#This Row],[Date of Call]])+1)</f>
        <v>2024</v>
      </c>
      <c r="M824" t="str">
        <f>TEXT(calls[[#This Row],[Date of Call]],"DDDD")</f>
        <v>الأربعاء</v>
      </c>
      <c r="N824" t="str" cm="1">
        <f t="array" ref="N824">_xlfn.IFS(calls[[#This Row],[Duration]]&lt;=10,"Under 10 mins", calls[[#This Row],[Duration]]&lt;=30, "10 to 30 mins", calls[[#This Row],[Duration]]&lt;=60, "30 to 60 mins", calls[[#This Row],[Duration]]&lt;=120, "1 to 2 hours", TRUE, "More than 2 hours")</f>
        <v>More than 2 hours</v>
      </c>
      <c r="O824">
        <f>ROUND(calls[[#This Row],[Satisfaction Rating]],0)</f>
        <v>5</v>
      </c>
    </row>
    <row r="825" spans="2:15" x14ac:dyDescent="0.25">
      <c r="B825" t="s">
        <v>846</v>
      </c>
      <c r="C825" t="s">
        <v>4</v>
      </c>
      <c r="D825">
        <f>VLOOKUP(C825,customers[],3,0)</f>
        <v>42</v>
      </c>
      <c r="E825" t="str">
        <f>VLOOKUP(C825,customers[],2,0)</f>
        <v>Female</v>
      </c>
      <c r="F825" t="str">
        <f>VLOOKUP(C825,customers[],4,0)</f>
        <v>Cleveland</v>
      </c>
      <c r="G825">
        <v>69</v>
      </c>
      <c r="H825" s="17" t="s">
        <v>5</v>
      </c>
      <c r="I825" s="18">
        <v>45210</v>
      </c>
      <c r="J825">
        <v>36</v>
      </c>
      <c r="K825">
        <v>4.5</v>
      </c>
      <c r="L825">
        <f>IF(MONTH(calls[[#This Row],[Date of Call]])&lt;=6, YEAR(calls[[#This Row],[Date of Call]]), YEAR(calls[[#This Row],[Date of Call]])+1)</f>
        <v>2024</v>
      </c>
      <c r="M825" t="str">
        <f>TEXT(calls[[#This Row],[Date of Call]],"DDDD")</f>
        <v>الأربعاء</v>
      </c>
      <c r="N825" t="str" cm="1">
        <f t="array" ref="N825">_xlfn.IFS(calls[[#This Row],[Duration]]&lt;=10,"Under 10 mins", calls[[#This Row],[Duration]]&lt;=30, "10 to 30 mins", calls[[#This Row],[Duration]]&lt;=60, "30 to 60 mins", calls[[#This Row],[Duration]]&lt;=120, "1 to 2 hours", TRUE, "More than 2 hours")</f>
        <v>1 to 2 hours</v>
      </c>
      <c r="O825">
        <f>ROUND(calls[[#This Row],[Satisfaction Rating]],0)</f>
        <v>5</v>
      </c>
    </row>
    <row r="826" spans="2:15" x14ac:dyDescent="0.25">
      <c r="B826" t="s">
        <v>847</v>
      </c>
      <c r="C826" t="s">
        <v>19</v>
      </c>
      <c r="D826">
        <f>VLOOKUP(C826,customers[],3,0)</f>
        <v>26</v>
      </c>
      <c r="E826" t="str">
        <f>VLOOKUP(C826,customers[],2,0)</f>
        <v>Male</v>
      </c>
      <c r="F826" t="str">
        <f>VLOOKUP(C826,customers[],4,0)</f>
        <v>Cincinnati</v>
      </c>
      <c r="G826">
        <v>120</v>
      </c>
      <c r="H826" s="17" t="s">
        <v>8</v>
      </c>
      <c r="I826" s="18">
        <v>45211</v>
      </c>
      <c r="J826">
        <v>140</v>
      </c>
      <c r="K826">
        <v>4.5999999999999996</v>
      </c>
      <c r="L826">
        <f>IF(MONTH(calls[[#This Row],[Date of Call]])&lt;=6, YEAR(calls[[#This Row],[Date of Call]]), YEAR(calls[[#This Row],[Date of Call]])+1)</f>
        <v>2024</v>
      </c>
      <c r="M826" t="str">
        <f>TEXT(calls[[#This Row],[Date of Call]],"DDDD")</f>
        <v>الخميس</v>
      </c>
      <c r="N826" t="str" cm="1">
        <f t="array" ref="N826">_xlfn.IFS(calls[[#This Row],[Duration]]&lt;=10,"Under 10 mins", calls[[#This Row],[Duration]]&lt;=30, "10 to 30 mins", calls[[#This Row],[Duration]]&lt;=60, "30 to 60 mins", calls[[#This Row],[Duration]]&lt;=120, "1 to 2 hours", TRUE, "More than 2 hours")</f>
        <v>1 to 2 hours</v>
      </c>
      <c r="O826">
        <f>ROUND(calls[[#This Row],[Satisfaction Rating]],0)</f>
        <v>5</v>
      </c>
    </row>
    <row r="827" spans="2:15" x14ac:dyDescent="0.25">
      <c r="B827" t="s">
        <v>848</v>
      </c>
      <c r="C827" t="s">
        <v>22</v>
      </c>
      <c r="D827">
        <f>VLOOKUP(C827,customers[],3,0)</f>
        <v>37</v>
      </c>
      <c r="E827" t="str">
        <f>VLOOKUP(C827,customers[],2,0)</f>
        <v>Male</v>
      </c>
      <c r="F827" t="str">
        <f>VLOOKUP(C827,customers[],4,0)</f>
        <v>Columbus</v>
      </c>
      <c r="G827">
        <v>126</v>
      </c>
      <c r="H827" s="17" t="s">
        <v>12</v>
      </c>
      <c r="I827" s="18">
        <v>45211</v>
      </c>
      <c r="J827">
        <v>50</v>
      </c>
      <c r="K827">
        <v>4.8</v>
      </c>
      <c r="L827">
        <f>IF(MONTH(calls[[#This Row],[Date of Call]])&lt;=6, YEAR(calls[[#This Row],[Date of Call]]), YEAR(calls[[#This Row],[Date of Call]])+1)</f>
        <v>2024</v>
      </c>
      <c r="M827" t="str">
        <f>TEXT(calls[[#This Row],[Date of Call]],"DDDD")</f>
        <v>الخميس</v>
      </c>
      <c r="N827" t="str" cm="1">
        <f t="array" ref="N827">_xlfn.IFS(calls[[#This Row],[Duration]]&lt;=10,"Under 10 mins", calls[[#This Row],[Duration]]&lt;=30, "10 to 30 mins", calls[[#This Row],[Duration]]&lt;=60, "30 to 60 mins", calls[[#This Row],[Duration]]&lt;=120, "1 to 2 hours", TRUE, "More than 2 hours")</f>
        <v>More than 2 hours</v>
      </c>
      <c r="O827">
        <f>ROUND(calls[[#This Row],[Satisfaction Rating]],0)</f>
        <v>5</v>
      </c>
    </row>
    <row r="828" spans="2:15" x14ac:dyDescent="0.25">
      <c r="B828" t="s">
        <v>849</v>
      </c>
      <c r="C828" t="s">
        <v>4</v>
      </c>
      <c r="D828">
        <f>VLOOKUP(C828,customers[],3,0)</f>
        <v>42</v>
      </c>
      <c r="E828" t="str">
        <f>VLOOKUP(C828,customers[],2,0)</f>
        <v>Female</v>
      </c>
      <c r="F828" t="str">
        <f>VLOOKUP(C828,customers[],4,0)</f>
        <v>Cleveland</v>
      </c>
      <c r="G828">
        <v>120</v>
      </c>
      <c r="H828" s="17" t="s">
        <v>9</v>
      </c>
      <c r="I828" s="18">
        <v>45211</v>
      </c>
      <c r="J828">
        <v>195</v>
      </c>
      <c r="K828">
        <v>4.3</v>
      </c>
      <c r="L828">
        <f>IF(MONTH(calls[[#This Row],[Date of Call]])&lt;=6, YEAR(calls[[#This Row],[Date of Call]]), YEAR(calls[[#This Row],[Date of Call]])+1)</f>
        <v>2024</v>
      </c>
      <c r="M828" t="str">
        <f>TEXT(calls[[#This Row],[Date of Call]],"DDDD")</f>
        <v>الخميس</v>
      </c>
      <c r="N828" t="str" cm="1">
        <f t="array" ref="N828">_xlfn.IFS(calls[[#This Row],[Duration]]&lt;=10,"Under 10 mins", calls[[#This Row],[Duration]]&lt;=30, "10 to 30 mins", calls[[#This Row],[Duration]]&lt;=60, "30 to 60 mins", calls[[#This Row],[Duration]]&lt;=120, "1 to 2 hours", TRUE, "More than 2 hours")</f>
        <v>1 to 2 hours</v>
      </c>
      <c r="O828">
        <f>ROUND(calls[[#This Row],[Satisfaction Rating]],0)</f>
        <v>4</v>
      </c>
    </row>
    <row r="829" spans="2:15" x14ac:dyDescent="0.25">
      <c r="B829" t="s">
        <v>850</v>
      </c>
      <c r="C829" t="s">
        <v>22</v>
      </c>
      <c r="D829">
        <f>VLOOKUP(C829,customers[],3,0)</f>
        <v>37</v>
      </c>
      <c r="E829" t="str">
        <f>VLOOKUP(C829,customers[],2,0)</f>
        <v>Male</v>
      </c>
      <c r="F829" t="str">
        <f>VLOOKUP(C829,customers[],4,0)</f>
        <v>Columbus</v>
      </c>
      <c r="G829">
        <v>139</v>
      </c>
      <c r="H829" s="17" t="s">
        <v>8</v>
      </c>
      <c r="I829" s="18">
        <v>45212</v>
      </c>
      <c r="J829">
        <v>48</v>
      </c>
      <c r="K829">
        <v>4.7</v>
      </c>
      <c r="L829">
        <f>IF(MONTH(calls[[#This Row],[Date of Call]])&lt;=6, YEAR(calls[[#This Row],[Date of Call]]), YEAR(calls[[#This Row],[Date of Call]])+1)</f>
        <v>2024</v>
      </c>
      <c r="M829" t="str">
        <f>TEXT(calls[[#This Row],[Date of Call]],"DDDD")</f>
        <v>الجمعة</v>
      </c>
      <c r="N829" t="str" cm="1">
        <f t="array" ref="N829">_xlfn.IFS(calls[[#This Row],[Duration]]&lt;=10,"Under 10 mins", calls[[#This Row],[Duration]]&lt;=30, "10 to 30 mins", calls[[#This Row],[Duration]]&lt;=60, "30 to 60 mins", calls[[#This Row],[Duration]]&lt;=120, "1 to 2 hours", TRUE, "More than 2 hours")</f>
        <v>More than 2 hours</v>
      </c>
      <c r="O829">
        <f>ROUND(calls[[#This Row],[Satisfaction Rating]],0)</f>
        <v>5</v>
      </c>
    </row>
    <row r="830" spans="2:15" x14ac:dyDescent="0.25">
      <c r="B830" t="s">
        <v>851</v>
      </c>
      <c r="C830" t="s">
        <v>17</v>
      </c>
      <c r="D830">
        <f>VLOOKUP(C830,customers[],3,0)</f>
        <v>30</v>
      </c>
      <c r="E830" t="str">
        <f>VLOOKUP(C830,customers[],2,0)</f>
        <v>Female</v>
      </c>
      <c r="F830" t="str">
        <f>VLOOKUP(C830,customers[],4,0)</f>
        <v>Cleveland</v>
      </c>
      <c r="G830">
        <v>124</v>
      </c>
      <c r="H830" s="17" t="s">
        <v>5</v>
      </c>
      <c r="I830" s="18">
        <v>45213</v>
      </c>
      <c r="J830">
        <v>29</v>
      </c>
      <c r="K830">
        <v>4.8</v>
      </c>
      <c r="L830">
        <f>IF(MONTH(calls[[#This Row],[Date of Call]])&lt;=6, YEAR(calls[[#This Row],[Date of Call]]), YEAR(calls[[#This Row],[Date of Call]])+1)</f>
        <v>2024</v>
      </c>
      <c r="M830" t="str">
        <f>TEXT(calls[[#This Row],[Date of Call]],"DDDD")</f>
        <v>السبت</v>
      </c>
      <c r="N830" t="str" cm="1">
        <f t="array" ref="N830">_xlfn.IFS(calls[[#This Row],[Duration]]&lt;=10,"Under 10 mins", calls[[#This Row],[Duration]]&lt;=30, "10 to 30 mins", calls[[#This Row],[Duration]]&lt;=60, "30 to 60 mins", calls[[#This Row],[Duration]]&lt;=120, "1 to 2 hours", TRUE, "More than 2 hours")</f>
        <v>More than 2 hours</v>
      </c>
      <c r="O830">
        <f>ROUND(calls[[#This Row],[Satisfaction Rating]],0)</f>
        <v>5</v>
      </c>
    </row>
    <row r="831" spans="2:15" x14ac:dyDescent="0.25">
      <c r="B831" t="s">
        <v>852</v>
      </c>
      <c r="C831" t="s">
        <v>19</v>
      </c>
      <c r="D831">
        <f>VLOOKUP(C831,customers[],3,0)</f>
        <v>26</v>
      </c>
      <c r="E831" t="str">
        <f>VLOOKUP(C831,customers[],2,0)</f>
        <v>Male</v>
      </c>
      <c r="F831" t="str">
        <f>VLOOKUP(C831,customers[],4,0)</f>
        <v>Cincinnati</v>
      </c>
      <c r="G831">
        <v>108</v>
      </c>
      <c r="H831" s="17" t="s">
        <v>9</v>
      </c>
      <c r="I831" s="18">
        <v>45213</v>
      </c>
      <c r="J831">
        <v>44</v>
      </c>
      <c r="K831">
        <v>4.7</v>
      </c>
      <c r="L831">
        <f>IF(MONTH(calls[[#This Row],[Date of Call]])&lt;=6, YEAR(calls[[#This Row],[Date of Call]]), YEAR(calls[[#This Row],[Date of Call]])+1)</f>
        <v>2024</v>
      </c>
      <c r="M831" t="str">
        <f>TEXT(calls[[#This Row],[Date of Call]],"DDDD")</f>
        <v>السبت</v>
      </c>
      <c r="N831" t="str" cm="1">
        <f t="array" ref="N831">_xlfn.IFS(calls[[#This Row],[Duration]]&lt;=10,"Under 10 mins", calls[[#This Row],[Duration]]&lt;=30, "10 to 30 mins", calls[[#This Row],[Duration]]&lt;=60, "30 to 60 mins", calls[[#This Row],[Duration]]&lt;=120, "1 to 2 hours", TRUE, "More than 2 hours")</f>
        <v>1 to 2 hours</v>
      </c>
      <c r="O831">
        <f>ROUND(calls[[#This Row],[Satisfaction Rating]],0)</f>
        <v>5</v>
      </c>
    </row>
    <row r="832" spans="2:15" x14ac:dyDescent="0.25">
      <c r="B832" t="s">
        <v>853</v>
      </c>
      <c r="C832" t="s">
        <v>11</v>
      </c>
      <c r="D832">
        <f>VLOOKUP(C832,customers[],3,0)</f>
        <v>36</v>
      </c>
      <c r="E832" t="str">
        <f>VLOOKUP(C832,customers[],2,0)</f>
        <v>Male</v>
      </c>
      <c r="F832" t="str">
        <f>VLOOKUP(C832,customers[],4,0)</f>
        <v>Cincinnati</v>
      </c>
      <c r="G832">
        <v>132</v>
      </c>
      <c r="H832" s="17" t="s">
        <v>10</v>
      </c>
      <c r="I832" s="18">
        <v>45213</v>
      </c>
      <c r="J832">
        <v>140</v>
      </c>
      <c r="K832">
        <v>4.3</v>
      </c>
      <c r="L832">
        <f>IF(MONTH(calls[[#This Row],[Date of Call]])&lt;=6, YEAR(calls[[#This Row],[Date of Call]]), YEAR(calls[[#This Row],[Date of Call]])+1)</f>
        <v>2024</v>
      </c>
      <c r="M832" t="str">
        <f>TEXT(calls[[#This Row],[Date of Call]],"DDDD")</f>
        <v>السبت</v>
      </c>
      <c r="N832" t="str" cm="1">
        <f t="array" ref="N832">_xlfn.IFS(calls[[#This Row],[Duration]]&lt;=10,"Under 10 mins", calls[[#This Row],[Duration]]&lt;=30, "10 to 30 mins", calls[[#This Row],[Duration]]&lt;=60, "30 to 60 mins", calls[[#This Row],[Duration]]&lt;=120, "1 to 2 hours", TRUE, "More than 2 hours")</f>
        <v>More than 2 hours</v>
      </c>
      <c r="O832">
        <f>ROUND(calls[[#This Row],[Satisfaction Rating]],0)</f>
        <v>4</v>
      </c>
    </row>
    <row r="833" spans="2:15" x14ac:dyDescent="0.25">
      <c r="B833" t="s">
        <v>854</v>
      </c>
      <c r="C833" t="s">
        <v>16</v>
      </c>
      <c r="D833">
        <f>VLOOKUP(C833,customers[],3,0)</f>
        <v>41</v>
      </c>
      <c r="E833" t="str">
        <f>VLOOKUP(C833,customers[],2,0)</f>
        <v>Male</v>
      </c>
      <c r="F833" t="str">
        <f>VLOOKUP(C833,customers[],4,0)</f>
        <v>Columbus</v>
      </c>
      <c r="G833">
        <v>67</v>
      </c>
      <c r="H833" s="17" t="s">
        <v>10</v>
      </c>
      <c r="I833" s="18">
        <v>45213</v>
      </c>
      <c r="J833">
        <v>105</v>
      </c>
      <c r="K833">
        <v>3.8</v>
      </c>
      <c r="L833">
        <f>IF(MONTH(calls[[#This Row],[Date of Call]])&lt;=6, YEAR(calls[[#This Row],[Date of Call]]), YEAR(calls[[#This Row],[Date of Call]])+1)</f>
        <v>2024</v>
      </c>
      <c r="M833" t="str">
        <f>TEXT(calls[[#This Row],[Date of Call]],"DDDD")</f>
        <v>السبت</v>
      </c>
      <c r="N833" t="str" cm="1">
        <f t="array" ref="N833">_xlfn.IFS(calls[[#This Row],[Duration]]&lt;=10,"Under 10 mins", calls[[#This Row],[Duration]]&lt;=30, "10 to 30 mins", calls[[#This Row],[Duration]]&lt;=60, "30 to 60 mins", calls[[#This Row],[Duration]]&lt;=120, "1 to 2 hours", TRUE, "More than 2 hours")</f>
        <v>1 to 2 hours</v>
      </c>
      <c r="O833">
        <f>ROUND(calls[[#This Row],[Satisfaction Rating]],0)</f>
        <v>4</v>
      </c>
    </row>
    <row r="834" spans="2:15" x14ac:dyDescent="0.25">
      <c r="B834" t="s">
        <v>855</v>
      </c>
      <c r="C834" t="s">
        <v>14</v>
      </c>
      <c r="D834">
        <f>VLOOKUP(C834,customers[],3,0)</f>
        <v>22</v>
      </c>
      <c r="E834" t="str">
        <f>VLOOKUP(C834,customers[],2,0)</f>
        <v>Female</v>
      </c>
      <c r="F834" t="str">
        <f>VLOOKUP(C834,customers[],4,0)</f>
        <v>Cleveland</v>
      </c>
      <c r="G834">
        <v>125</v>
      </c>
      <c r="H834" s="17" t="s">
        <v>10</v>
      </c>
      <c r="I834" s="18">
        <v>45213</v>
      </c>
      <c r="J834">
        <v>82</v>
      </c>
      <c r="K834">
        <v>4.5999999999999996</v>
      </c>
      <c r="L834">
        <f>IF(MONTH(calls[[#This Row],[Date of Call]])&lt;=6, YEAR(calls[[#This Row],[Date of Call]]), YEAR(calls[[#This Row],[Date of Call]])+1)</f>
        <v>2024</v>
      </c>
      <c r="M834" t="str">
        <f>TEXT(calls[[#This Row],[Date of Call]],"DDDD")</f>
        <v>السبت</v>
      </c>
      <c r="N834" t="str" cm="1">
        <f t="array" ref="N834">_xlfn.IFS(calls[[#This Row],[Duration]]&lt;=10,"Under 10 mins", calls[[#This Row],[Duration]]&lt;=30, "10 to 30 mins", calls[[#This Row],[Duration]]&lt;=60, "30 to 60 mins", calls[[#This Row],[Duration]]&lt;=120, "1 to 2 hours", TRUE, "More than 2 hours")</f>
        <v>More than 2 hours</v>
      </c>
      <c r="O834">
        <f>ROUND(calls[[#This Row],[Satisfaction Rating]],0)</f>
        <v>5</v>
      </c>
    </row>
    <row r="835" spans="2:15" x14ac:dyDescent="0.25">
      <c r="B835" t="s">
        <v>856</v>
      </c>
      <c r="C835" t="s">
        <v>19</v>
      </c>
      <c r="D835">
        <f>VLOOKUP(C835,customers[],3,0)</f>
        <v>26</v>
      </c>
      <c r="E835" t="str">
        <f>VLOOKUP(C835,customers[],2,0)</f>
        <v>Male</v>
      </c>
      <c r="F835" t="str">
        <f>VLOOKUP(C835,customers[],4,0)</f>
        <v>Cincinnati</v>
      </c>
      <c r="G835">
        <v>23</v>
      </c>
      <c r="H835" s="17" t="s">
        <v>9</v>
      </c>
      <c r="I835" s="18">
        <v>45213</v>
      </c>
      <c r="J835">
        <v>24</v>
      </c>
      <c r="K835">
        <v>2.9</v>
      </c>
      <c r="L835">
        <f>IF(MONTH(calls[[#This Row],[Date of Call]])&lt;=6, YEAR(calls[[#This Row],[Date of Call]]), YEAR(calls[[#This Row],[Date of Call]])+1)</f>
        <v>2024</v>
      </c>
      <c r="M835" t="str">
        <f>TEXT(calls[[#This Row],[Date of Call]],"DDDD")</f>
        <v>السبت</v>
      </c>
      <c r="N835" t="str" cm="1">
        <f t="array" ref="N835">_xlfn.IFS(calls[[#This Row],[Duration]]&lt;=10,"Under 10 mins", calls[[#This Row],[Duration]]&lt;=30, "10 to 30 mins", calls[[#This Row],[Duration]]&lt;=60, "30 to 60 mins", calls[[#This Row],[Duration]]&lt;=120, "1 to 2 hours", TRUE, "More than 2 hours")</f>
        <v>10 to 30 mins</v>
      </c>
      <c r="O835">
        <f>ROUND(calls[[#This Row],[Satisfaction Rating]],0)</f>
        <v>3</v>
      </c>
    </row>
    <row r="836" spans="2:15" x14ac:dyDescent="0.25">
      <c r="B836" t="s">
        <v>857</v>
      </c>
      <c r="C836" t="s">
        <v>7</v>
      </c>
      <c r="D836">
        <f>VLOOKUP(C836,customers[],3,0)</f>
        <v>30</v>
      </c>
      <c r="E836" t="str">
        <f>VLOOKUP(C836,customers[],2,0)</f>
        <v>Female</v>
      </c>
      <c r="F836" t="str">
        <f>VLOOKUP(C836,customers[],4,0)</f>
        <v>Cincinnati</v>
      </c>
      <c r="G836">
        <v>131</v>
      </c>
      <c r="H836" s="17" t="s">
        <v>5</v>
      </c>
      <c r="I836" s="18">
        <v>45214</v>
      </c>
      <c r="J836">
        <v>205</v>
      </c>
      <c r="K836">
        <v>4.8</v>
      </c>
      <c r="L836">
        <f>IF(MONTH(calls[[#This Row],[Date of Call]])&lt;=6, YEAR(calls[[#This Row],[Date of Call]]), YEAR(calls[[#This Row],[Date of Call]])+1)</f>
        <v>2024</v>
      </c>
      <c r="M836" t="str">
        <f>TEXT(calls[[#This Row],[Date of Call]],"DDDD")</f>
        <v>الأحد</v>
      </c>
      <c r="N836" t="str" cm="1">
        <f t="array" ref="N836">_xlfn.IFS(calls[[#This Row],[Duration]]&lt;=10,"Under 10 mins", calls[[#This Row],[Duration]]&lt;=30, "10 to 30 mins", calls[[#This Row],[Duration]]&lt;=60, "30 to 60 mins", calls[[#This Row],[Duration]]&lt;=120, "1 to 2 hours", TRUE, "More than 2 hours")</f>
        <v>More than 2 hours</v>
      </c>
      <c r="O836">
        <f>ROUND(calls[[#This Row],[Satisfaction Rating]],0)</f>
        <v>5</v>
      </c>
    </row>
    <row r="837" spans="2:15" x14ac:dyDescent="0.25">
      <c r="B837" t="s">
        <v>858</v>
      </c>
      <c r="C837" t="s">
        <v>11</v>
      </c>
      <c r="D837">
        <f>VLOOKUP(C837,customers[],3,0)</f>
        <v>36</v>
      </c>
      <c r="E837" t="str">
        <f>VLOOKUP(C837,customers[],2,0)</f>
        <v>Male</v>
      </c>
      <c r="F837" t="str">
        <f>VLOOKUP(C837,customers[],4,0)</f>
        <v>Cincinnati</v>
      </c>
      <c r="G837">
        <v>56</v>
      </c>
      <c r="H837" s="17" t="s">
        <v>8</v>
      </c>
      <c r="I837" s="18">
        <v>45214</v>
      </c>
      <c r="J837">
        <v>225</v>
      </c>
      <c r="K837">
        <v>4.9000000000000004</v>
      </c>
      <c r="L837">
        <f>IF(MONTH(calls[[#This Row],[Date of Call]])&lt;=6, YEAR(calls[[#This Row],[Date of Call]]), YEAR(calls[[#This Row],[Date of Call]])+1)</f>
        <v>2024</v>
      </c>
      <c r="M837" t="str">
        <f>TEXT(calls[[#This Row],[Date of Call]],"DDDD")</f>
        <v>الأحد</v>
      </c>
      <c r="N837" t="str" cm="1">
        <f t="array" ref="N837">_xlfn.IFS(calls[[#This Row],[Duration]]&lt;=10,"Under 10 mins", calls[[#This Row],[Duration]]&lt;=30, "10 to 30 mins", calls[[#This Row],[Duration]]&lt;=60, "30 to 60 mins", calls[[#This Row],[Duration]]&lt;=120, "1 to 2 hours", TRUE, "More than 2 hours")</f>
        <v>30 to 60 mins</v>
      </c>
      <c r="O837">
        <f>ROUND(calls[[#This Row],[Satisfaction Rating]],0)</f>
        <v>5</v>
      </c>
    </row>
    <row r="838" spans="2:15" x14ac:dyDescent="0.25">
      <c r="B838" t="s">
        <v>859</v>
      </c>
      <c r="C838" t="s">
        <v>7</v>
      </c>
      <c r="D838">
        <f>VLOOKUP(C838,customers[],3,0)</f>
        <v>30</v>
      </c>
      <c r="E838" t="str">
        <f>VLOOKUP(C838,customers[],2,0)</f>
        <v>Female</v>
      </c>
      <c r="F838" t="str">
        <f>VLOOKUP(C838,customers[],4,0)</f>
        <v>Cincinnati</v>
      </c>
      <c r="G838">
        <v>70</v>
      </c>
      <c r="H838" s="17" t="s">
        <v>5</v>
      </c>
      <c r="I838" s="18">
        <v>45214</v>
      </c>
      <c r="J838">
        <v>50</v>
      </c>
      <c r="K838">
        <v>3.4</v>
      </c>
      <c r="L838">
        <f>IF(MONTH(calls[[#This Row],[Date of Call]])&lt;=6, YEAR(calls[[#This Row],[Date of Call]]), YEAR(calls[[#This Row],[Date of Call]])+1)</f>
        <v>2024</v>
      </c>
      <c r="M838" t="str">
        <f>TEXT(calls[[#This Row],[Date of Call]],"DDDD")</f>
        <v>الأحد</v>
      </c>
      <c r="N838" t="str" cm="1">
        <f t="array" ref="N838">_xlfn.IFS(calls[[#This Row],[Duration]]&lt;=10,"Under 10 mins", calls[[#This Row],[Duration]]&lt;=30, "10 to 30 mins", calls[[#This Row],[Duration]]&lt;=60, "30 to 60 mins", calls[[#This Row],[Duration]]&lt;=120, "1 to 2 hours", TRUE, "More than 2 hours")</f>
        <v>1 to 2 hours</v>
      </c>
      <c r="O838">
        <f>ROUND(calls[[#This Row],[Satisfaction Rating]],0)</f>
        <v>3</v>
      </c>
    </row>
    <row r="839" spans="2:15" x14ac:dyDescent="0.25">
      <c r="B839" t="s">
        <v>860</v>
      </c>
      <c r="C839" t="s">
        <v>7</v>
      </c>
      <c r="D839">
        <f>VLOOKUP(C839,customers[],3,0)</f>
        <v>30</v>
      </c>
      <c r="E839" t="str">
        <f>VLOOKUP(C839,customers[],2,0)</f>
        <v>Female</v>
      </c>
      <c r="F839" t="str">
        <f>VLOOKUP(C839,customers[],4,0)</f>
        <v>Cincinnati</v>
      </c>
      <c r="G839">
        <v>55</v>
      </c>
      <c r="H839" s="17" t="s">
        <v>10</v>
      </c>
      <c r="I839" s="18">
        <v>45214</v>
      </c>
      <c r="J839">
        <v>80</v>
      </c>
      <c r="K839">
        <v>4.3</v>
      </c>
      <c r="L839">
        <f>IF(MONTH(calls[[#This Row],[Date of Call]])&lt;=6, YEAR(calls[[#This Row],[Date of Call]]), YEAR(calls[[#This Row],[Date of Call]])+1)</f>
        <v>2024</v>
      </c>
      <c r="M839" t="str">
        <f>TEXT(calls[[#This Row],[Date of Call]],"DDDD")</f>
        <v>الأحد</v>
      </c>
      <c r="N839" t="str" cm="1">
        <f t="array" ref="N839">_xlfn.IFS(calls[[#This Row],[Duration]]&lt;=10,"Under 10 mins", calls[[#This Row],[Duration]]&lt;=30, "10 to 30 mins", calls[[#This Row],[Duration]]&lt;=60, "30 to 60 mins", calls[[#This Row],[Duration]]&lt;=120, "1 to 2 hours", TRUE, "More than 2 hours")</f>
        <v>30 to 60 mins</v>
      </c>
      <c r="O839">
        <f>ROUND(calls[[#This Row],[Satisfaction Rating]],0)</f>
        <v>4</v>
      </c>
    </row>
    <row r="840" spans="2:15" x14ac:dyDescent="0.25">
      <c r="B840" t="s">
        <v>861</v>
      </c>
      <c r="C840" t="s">
        <v>14</v>
      </c>
      <c r="D840">
        <f>VLOOKUP(C840,customers[],3,0)</f>
        <v>22</v>
      </c>
      <c r="E840" t="str">
        <f>VLOOKUP(C840,customers[],2,0)</f>
        <v>Female</v>
      </c>
      <c r="F840" t="str">
        <f>VLOOKUP(C840,customers[],4,0)</f>
        <v>Cleveland</v>
      </c>
      <c r="G840">
        <v>77</v>
      </c>
      <c r="H840" s="17" t="s">
        <v>8</v>
      </c>
      <c r="I840" s="18">
        <v>45214</v>
      </c>
      <c r="J840">
        <v>78</v>
      </c>
      <c r="K840">
        <v>3.9</v>
      </c>
      <c r="L840">
        <f>IF(MONTH(calls[[#This Row],[Date of Call]])&lt;=6, YEAR(calls[[#This Row],[Date of Call]]), YEAR(calls[[#This Row],[Date of Call]])+1)</f>
        <v>2024</v>
      </c>
      <c r="M840" t="str">
        <f>TEXT(calls[[#This Row],[Date of Call]],"DDDD")</f>
        <v>الأحد</v>
      </c>
      <c r="N840" t="str" cm="1">
        <f t="array" ref="N840">_xlfn.IFS(calls[[#This Row],[Duration]]&lt;=10,"Under 10 mins", calls[[#This Row],[Duration]]&lt;=30, "10 to 30 mins", calls[[#This Row],[Duration]]&lt;=60, "30 to 60 mins", calls[[#This Row],[Duration]]&lt;=120, "1 to 2 hours", TRUE, "More than 2 hours")</f>
        <v>1 to 2 hours</v>
      </c>
      <c r="O840">
        <f>ROUND(calls[[#This Row],[Satisfaction Rating]],0)</f>
        <v>4</v>
      </c>
    </row>
    <row r="841" spans="2:15" x14ac:dyDescent="0.25">
      <c r="B841" t="s">
        <v>862</v>
      </c>
      <c r="C841" t="s">
        <v>20</v>
      </c>
      <c r="D841">
        <f>VLOOKUP(C841,customers[],3,0)</f>
        <v>38</v>
      </c>
      <c r="E841" t="str">
        <f>VLOOKUP(C841,customers[],2,0)</f>
        <v>Female</v>
      </c>
      <c r="F841" t="str">
        <f>VLOOKUP(C841,customers[],4,0)</f>
        <v>Columbus</v>
      </c>
      <c r="G841">
        <v>133</v>
      </c>
      <c r="H841" s="17" t="s">
        <v>5</v>
      </c>
      <c r="I841" s="18">
        <v>45215</v>
      </c>
      <c r="J841">
        <v>40</v>
      </c>
      <c r="K841">
        <v>3.9</v>
      </c>
      <c r="L841">
        <f>IF(MONTH(calls[[#This Row],[Date of Call]])&lt;=6, YEAR(calls[[#This Row],[Date of Call]]), YEAR(calls[[#This Row],[Date of Call]])+1)</f>
        <v>2024</v>
      </c>
      <c r="M841" t="str">
        <f>TEXT(calls[[#This Row],[Date of Call]],"DDDD")</f>
        <v>الإثنين</v>
      </c>
      <c r="N841" t="str" cm="1">
        <f t="array" ref="N841">_xlfn.IFS(calls[[#This Row],[Duration]]&lt;=10,"Under 10 mins", calls[[#This Row],[Duration]]&lt;=30, "10 to 30 mins", calls[[#This Row],[Duration]]&lt;=60, "30 to 60 mins", calls[[#This Row],[Duration]]&lt;=120, "1 to 2 hours", TRUE, "More than 2 hours")</f>
        <v>More than 2 hours</v>
      </c>
      <c r="O841">
        <f>ROUND(calls[[#This Row],[Satisfaction Rating]],0)</f>
        <v>4</v>
      </c>
    </row>
    <row r="842" spans="2:15" x14ac:dyDescent="0.25">
      <c r="B842" t="s">
        <v>863</v>
      </c>
      <c r="C842" t="s">
        <v>14</v>
      </c>
      <c r="D842">
        <f>VLOOKUP(C842,customers[],3,0)</f>
        <v>22</v>
      </c>
      <c r="E842" t="str">
        <f>VLOOKUP(C842,customers[],2,0)</f>
        <v>Female</v>
      </c>
      <c r="F842" t="str">
        <f>VLOOKUP(C842,customers[],4,0)</f>
        <v>Cleveland</v>
      </c>
      <c r="G842">
        <v>77</v>
      </c>
      <c r="H842" s="17" t="s">
        <v>8</v>
      </c>
      <c r="I842" s="18">
        <v>45215</v>
      </c>
      <c r="J842">
        <v>176</v>
      </c>
      <c r="K842">
        <v>1.5</v>
      </c>
      <c r="L842">
        <f>IF(MONTH(calls[[#This Row],[Date of Call]])&lt;=6, YEAR(calls[[#This Row],[Date of Call]]), YEAR(calls[[#This Row],[Date of Call]])+1)</f>
        <v>2024</v>
      </c>
      <c r="M842" t="str">
        <f>TEXT(calls[[#This Row],[Date of Call]],"DDDD")</f>
        <v>الإثنين</v>
      </c>
      <c r="N842" t="str" cm="1">
        <f t="array" ref="N842">_xlfn.IFS(calls[[#This Row],[Duration]]&lt;=10,"Under 10 mins", calls[[#This Row],[Duration]]&lt;=30, "10 to 30 mins", calls[[#This Row],[Duration]]&lt;=60, "30 to 60 mins", calls[[#This Row],[Duration]]&lt;=120, "1 to 2 hours", TRUE, "More than 2 hours")</f>
        <v>1 to 2 hours</v>
      </c>
      <c r="O842">
        <f>ROUND(calls[[#This Row],[Satisfaction Rating]],0)</f>
        <v>2</v>
      </c>
    </row>
    <row r="843" spans="2:15" x14ac:dyDescent="0.25">
      <c r="B843" t="s">
        <v>864</v>
      </c>
      <c r="C843" t="s">
        <v>18</v>
      </c>
      <c r="D843">
        <f>VLOOKUP(C843,customers[],3,0)</f>
        <v>43</v>
      </c>
      <c r="E843" t="str">
        <f>VLOOKUP(C843,customers[],2,0)</f>
        <v>Female</v>
      </c>
      <c r="F843" t="str">
        <f>VLOOKUP(C843,customers[],4,0)</f>
        <v>Cleveland</v>
      </c>
      <c r="G843">
        <v>103</v>
      </c>
      <c r="H843" s="17" t="s">
        <v>5</v>
      </c>
      <c r="I843" s="18">
        <v>45215</v>
      </c>
      <c r="J843">
        <v>78</v>
      </c>
      <c r="K843">
        <v>3</v>
      </c>
      <c r="L843">
        <f>IF(MONTH(calls[[#This Row],[Date of Call]])&lt;=6, YEAR(calls[[#This Row],[Date of Call]]), YEAR(calls[[#This Row],[Date of Call]])+1)</f>
        <v>2024</v>
      </c>
      <c r="M843" t="str">
        <f>TEXT(calls[[#This Row],[Date of Call]],"DDDD")</f>
        <v>الإثنين</v>
      </c>
      <c r="N843" t="str" cm="1">
        <f t="array" ref="N843">_xlfn.IFS(calls[[#This Row],[Duration]]&lt;=10,"Under 10 mins", calls[[#This Row],[Duration]]&lt;=30, "10 to 30 mins", calls[[#This Row],[Duration]]&lt;=60, "30 to 60 mins", calls[[#This Row],[Duration]]&lt;=120, "1 to 2 hours", TRUE, "More than 2 hours")</f>
        <v>1 to 2 hours</v>
      </c>
      <c r="O843">
        <f>ROUND(calls[[#This Row],[Satisfaction Rating]],0)</f>
        <v>3</v>
      </c>
    </row>
    <row r="844" spans="2:15" x14ac:dyDescent="0.25">
      <c r="B844" t="s">
        <v>865</v>
      </c>
      <c r="C844" t="s">
        <v>4</v>
      </c>
      <c r="D844">
        <f>VLOOKUP(C844,customers[],3,0)</f>
        <v>42</v>
      </c>
      <c r="E844" t="str">
        <f>VLOOKUP(C844,customers[],2,0)</f>
        <v>Female</v>
      </c>
      <c r="F844" t="str">
        <f>VLOOKUP(C844,customers[],4,0)</f>
        <v>Cleveland</v>
      </c>
      <c r="G844">
        <v>32</v>
      </c>
      <c r="H844" s="17" t="s">
        <v>8</v>
      </c>
      <c r="I844" s="18">
        <v>45215</v>
      </c>
      <c r="J844">
        <v>42</v>
      </c>
      <c r="K844">
        <v>4.2</v>
      </c>
      <c r="L844">
        <f>IF(MONTH(calls[[#This Row],[Date of Call]])&lt;=6, YEAR(calls[[#This Row],[Date of Call]]), YEAR(calls[[#This Row],[Date of Call]])+1)</f>
        <v>2024</v>
      </c>
      <c r="M844" t="str">
        <f>TEXT(calls[[#This Row],[Date of Call]],"DDDD")</f>
        <v>الإثنين</v>
      </c>
      <c r="N844" t="str" cm="1">
        <f t="array" ref="N844">_xlfn.IFS(calls[[#This Row],[Duration]]&lt;=10,"Under 10 mins", calls[[#This Row],[Duration]]&lt;=30, "10 to 30 mins", calls[[#This Row],[Duration]]&lt;=60, "30 to 60 mins", calls[[#This Row],[Duration]]&lt;=120, "1 to 2 hours", TRUE, "More than 2 hours")</f>
        <v>30 to 60 mins</v>
      </c>
      <c r="O844">
        <f>ROUND(calls[[#This Row],[Satisfaction Rating]],0)</f>
        <v>4</v>
      </c>
    </row>
    <row r="845" spans="2:15" x14ac:dyDescent="0.25">
      <c r="B845" t="s">
        <v>866</v>
      </c>
      <c r="C845" t="s">
        <v>20</v>
      </c>
      <c r="D845">
        <f>VLOOKUP(C845,customers[],3,0)</f>
        <v>38</v>
      </c>
      <c r="E845" t="str">
        <f>VLOOKUP(C845,customers[],2,0)</f>
        <v>Female</v>
      </c>
      <c r="F845" t="str">
        <f>VLOOKUP(C845,customers[],4,0)</f>
        <v>Columbus</v>
      </c>
      <c r="G845">
        <v>30</v>
      </c>
      <c r="H845" s="17" t="s">
        <v>5</v>
      </c>
      <c r="I845" s="18">
        <v>45215</v>
      </c>
      <c r="J845">
        <v>38</v>
      </c>
      <c r="K845">
        <v>3.7</v>
      </c>
      <c r="L845">
        <f>IF(MONTH(calls[[#This Row],[Date of Call]])&lt;=6, YEAR(calls[[#This Row],[Date of Call]]), YEAR(calls[[#This Row],[Date of Call]])+1)</f>
        <v>2024</v>
      </c>
      <c r="M845" t="str">
        <f>TEXT(calls[[#This Row],[Date of Call]],"DDDD")</f>
        <v>الإثنين</v>
      </c>
      <c r="N845" t="str" cm="1">
        <f t="array" ref="N845">_xlfn.IFS(calls[[#This Row],[Duration]]&lt;=10,"Under 10 mins", calls[[#This Row],[Duration]]&lt;=30, "10 to 30 mins", calls[[#This Row],[Duration]]&lt;=60, "30 to 60 mins", calls[[#This Row],[Duration]]&lt;=120, "1 to 2 hours", TRUE, "More than 2 hours")</f>
        <v>10 to 30 mins</v>
      </c>
      <c r="O845">
        <f>ROUND(calls[[#This Row],[Satisfaction Rating]],0)</f>
        <v>4</v>
      </c>
    </row>
    <row r="846" spans="2:15" x14ac:dyDescent="0.25">
      <c r="B846" t="s">
        <v>867</v>
      </c>
      <c r="C846" t="s">
        <v>22</v>
      </c>
      <c r="D846">
        <f>VLOOKUP(C846,customers[],3,0)</f>
        <v>37</v>
      </c>
      <c r="E846" t="str">
        <f>VLOOKUP(C846,customers[],2,0)</f>
        <v>Male</v>
      </c>
      <c r="F846" t="str">
        <f>VLOOKUP(C846,customers[],4,0)</f>
        <v>Columbus</v>
      </c>
      <c r="G846">
        <v>87</v>
      </c>
      <c r="H846" s="17" t="s">
        <v>12</v>
      </c>
      <c r="I846" s="18">
        <v>45215</v>
      </c>
      <c r="J846">
        <v>27</v>
      </c>
      <c r="K846">
        <v>4.2</v>
      </c>
      <c r="L846">
        <f>IF(MONTH(calls[[#This Row],[Date of Call]])&lt;=6, YEAR(calls[[#This Row],[Date of Call]]), YEAR(calls[[#This Row],[Date of Call]])+1)</f>
        <v>2024</v>
      </c>
      <c r="M846" t="str">
        <f>TEXT(calls[[#This Row],[Date of Call]],"DDDD")</f>
        <v>الإثنين</v>
      </c>
      <c r="N846" t="str" cm="1">
        <f t="array" ref="N846">_xlfn.IFS(calls[[#This Row],[Duration]]&lt;=10,"Under 10 mins", calls[[#This Row],[Duration]]&lt;=30, "10 to 30 mins", calls[[#This Row],[Duration]]&lt;=60, "30 to 60 mins", calls[[#This Row],[Duration]]&lt;=120, "1 to 2 hours", TRUE, "More than 2 hours")</f>
        <v>1 to 2 hours</v>
      </c>
      <c r="O846">
        <f>ROUND(calls[[#This Row],[Satisfaction Rating]],0)</f>
        <v>4</v>
      </c>
    </row>
    <row r="847" spans="2:15" x14ac:dyDescent="0.25">
      <c r="B847" t="s">
        <v>868</v>
      </c>
      <c r="C847" t="s">
        <v>14</v>
      </c>
      <c r="D847">
        <f>VLOOKUP(C847,customers[],3,0)</f>
        <v>22</v>
      </c>
      <c r="E847" t="str">
        <f>VLOOKUP(C847,customers[],2,0)</f>
        <v>Female</v>
      </c>
      <c r="F847" t="str">
        <f>VLOOKUP(C847,customers[],4,0)</f>
        <v>Cleveland</v>
      </c>
      <c r="G847">
        <v>137</v>
      </c>
      <c r="H847" s="17" t="s">
        <v>9</v>
      </c>
      <c r="I847" s="18">
        <v>45216</v>
      </c>
      <c r="J847">
        <v>45</v>
      </c>
      <c r="K847">
        <v>4.4000000000000004</v>
      </c>
      <c r="L847">
        <f>IF(MONTH(calls[[#This Row],[Date of Call]])&lt;=6, YEAR(calls[[#This Row],[Date of Call]]), YEAR(calls[[#This Row],[Date of Call]])+1)</f>
        <v>2024</v>
      </c>
      <c r="M847" t="str">
        <f>TEXT(calls[[#This Row],[Date of Call]],"DDDD")</f>
        <v>الثلاثاء</v>
      </c>
      <c r="N847" t="str" cm="1">
        <f t="array" ref="N847">_xlfn.IFS(calls[[#This Row],[Duration]]&lt;=10,"Under 10 mins", calls[[#This Row],[Duration]]&lt;=30, "10 to 30 mins", calls[[#This Row],[Duration]]&lt;=60, "30 to 60 mins", calls[[#This Row],[Duration]]&lt;=120, "1 to 2 hours", TRUE, "More than 2 hours")</f>
        <v>More than 2 hours</v>
      </c>
      <c r="O847">
        <f>ROUND(calls[[#This Row],[Satisfaction Rating]],0)</f>
        <v>4</v>
      </c>
    </row>
    <row r="848" spans="2:15" x14ac:dyDescent="0.25">
      <c r="B848" t="s">
        <v>869</v>
      </c>
      <c r="C848" t="s">
        <v>13</v>
      </c>
      <c r="D848">
        <f>VLOOKUP(C848,customers[],3,0)</f>
        <v>37</v>
      </c>
      <c r="E848" t="str">
        <f>VLOOKUP(C848,customers[],2,0)</f>
        <v>Female</v>
      </c>
      <c r="F848" t="str">
        <f>VLOOKUP(C848,customers[],4,0)</f>
        <v>Cleveland</v>
      </c>
      <c r="G848">
        <v>96</v>
      </c>
      <c r="H848" s="17" t="s">
        <v>5</v>
      </c>
      <c r="I848" s="18">
        <v>45216</v>
      </c>
      <c r="J848">
        <v>215</v>
      </c>
      <c r="K848">
        <v>4</v>
      </c>
      <c r="L848">
        <f>IF(MONTH(calls[[#This Row],[Date of Call]])&lt;=6, YEAR(calls[[#This Row],[Date of Call]]), YEAR(calls[[#This Row],[Date of Call]])+1)</f>
        <v>2024</v>
      </c>
      <c r="M848" t="str">
        <f>TEXT(calls[[#This Row],[Date of Call]],"DDDD")</f>
        <v>الثلاثاء</v>
      </c>
      <c r="N848" t="str" cm="1">
        <f t="array" ref="N848">_xlfn.IFS(calls[[#This Row],[Duration]]&lt;=10,"Under 10 mins", calls[[#This Row],[Duration]]&lt;=30, "10 to 30 mins", calls[[#This Row],[Duration]]&lt;=60, "30 to 60 mins", calls[[#This Row],[Duration]]&lt;=120, "1 to 2 hours", TRUE, "More than 2 hours")</f>
        <v>1 to 2 hours</v>
      </c>
      <c r="O848">
        <f>ROUND(calls[[#This Row],[Satisfaction Rating]],0)</f>
        <v>4</v>
      </c>
    </row>
    <row r="849" spans="2:15" x14ac:dyDescent="0.25">
      <c r="B849" t="s">
        <v>870</v>
      </c>
      <c r="C849" t="s">
        <v>17</v>
      </c>
      <c r="D849">
        <f>VLOOKUP(C849,customers[],3,0)</f>
        <v>30</v>
      </c>
      <c r="E849" t="str">
        <f>VLOOKUP(C849,customers[],2,0)</f>
        <v>Female</v>
      </c>
      <c r="F849" t="str">
        <f>VLOOKUP(C849,customers[],4,0)</f>
        <v>Cleveland</v>
      </c>
      <c r="G849">
        <v>155</v>
      </c>
      <c r="H849" s="17" t="s">
        <v>5</v>
      </c>
      <c r="I849" s="18">
        <v>45217</v>
      </c>
      <c r="J849">
        <v>72</v>
      </c>
      <c r="K849">
        <v>4.7</v>
      </c>
      <c r="L849">
        <f>IF(MONTH(calls[[#This Row],[Date of Call]])&lt;=6, YEAR(calls[[#This Row],[Date of Call]]), YEAR(calls[[#This Row],[Date of Call]])+1)</f>
        <v>2024</v>
      </c>
      <c r="M849" t="str">
        <f>TEXT(calls[[#This Row],[Date of Call]],"DDDD")</f>
        <v>الأربعاء</v>
      </c>
      <c r="N849" t="str" cm="1">
        <f t="array" ref="N849">_xlfn.IFS(calls[[#This Row],[Duration]]&lt;=10,"Under 10 mins", calls[[#This Row],[Duration]]&lt;=30, "10 to 30 mins", calls[[#This Row],[Duration]]&lt;=60, "30 to 60 mins", calls[[#This Row],[Duration]]&lt;=120, "1 to 2 hours", TRUE, "More than 2 hours")</f>
        <v>More than 2 hours</v>
      </c>
      <c r="O849">
        <f>ROUND(calls[[#This Row],[Satisfaction Rating]],0)</f>
        <v>5</v>
      </c>
    </row>
    <row r="850" spans="2:15" x14ac:dyDescent="0.25">
      <c r="B850" t="s">
        <v>871</v>
      </c>
      <c r="C850" t="s">
        <v>20</v>
      </c>
      <c r="D850">
        <f>VLOOKUP(C850,customers[],3,0)</f>
        <v>38</v>
      </c>
      <c r="E850" t="str">
        <f>VLOOKUP(C850,customers[],2,0)</f>
        <v>Female</v>
      </c>
      <c r="F850" t="str">
        <f>VLOOKUP(C850,customers[],4,0)</f>
        <v>Columbus</v>
      </c>
      <c r="G850">
        <v>173</v>
      </c>
      <c r="H850" s="17" t="s">
        <v>10</v>
      </c>
      <c r="I850" s="18">
        <v>45217</v>
      </c>
      <c r="J850">
        <v>160</v>
      </c>
      <c r="K850">
        <v>2.8</v>
      </c>
      <c r="L850">
        <f>IF(MONTH(calls[[#This Row],[Date of Call]])&lt;=6, YEAR(calls[[#This Row],[Date of Call]]), YEAR(calls[[#This Row],[Date of Call]])+1)</f>
        <v>2024</v>
      </c>
      <c r="M850" t="str">
        <f>TEXT(calls[[#This Row],[Date of Call]],"DDDD")</f>
        <v>الأربعاء</v>
      </c>
      <c r="N850" t="str" cm="1">
        <f t="array" ref="N850">_xlfn.IFS(calls[[#This Row],[Duration]]&lt;=10,"Under 10 mins", calls[[#This Row],[Duration]]&lt;=30, "10 to 30 mins", calls[[#This Row],[Duration]]&lt;=60, "30 to 60 mins", calls[[#This Row],[Duration]]&lt;=120, "1 to 2 hours", TRUE, "More than 2 hours")</f>
        <v>More than 2 hours</v>
      </c>
      <c r="O850">
        <f>ROUND(calls[[#This Row],[Satisfaction Rating]],0)</f>
        <v>3</v>
      </c>
    </row>
    <row r="851" spans="2:15" x14ac:dyDescent="0.25">
      <c r="B851" t="s">
        <v>872</v>
      </c>
      <c r="C851" t="s">
        <v>17</v>
      </c>
      <c r="D851">
        <f>VLOOKUP(C851,customers[],3,0)</f>
        <v>30</v>
      </c>
      <c r="E851" t="str">
        <f>VLOOKUP(C851,customers[],2,0)</f>
        <v>Female</v>
      </c>
      <c r="F851" t="str">
        <f>VLOOKUP(C851,customers[],4,0)</f>
        <v>Cleveland</v>
      </c>
      <c r="G851">
        <v>127</v>
      </c>
      <c r="H851" s="17" t="s">
        <v>5</v>
      </c>
      <c r="I851" s="18">
        <v>45217</v>
      </c>
      <c r="J851">
        <v>165</v>
      </c>
      <c r="K851">
        <v>2.5</v>
      </c>
      <c r="L851">
        <f>IF(MONTH(calls[[#This Row],[Date of Call]])&lt;=6, YEAR(calls[[#This Row],[Date of Call]]), YEAR(calls[[#This Row],[Date of Call]])+1)</f>
        <v>2024</v>
      </c>
      <c r="M851" t="str">
        <f>TEXT(calls[[#This Row],[Date of Call]],"DDDD")</f>
        <v>الأربعاء</v>
      </c>
      <c r="N851" t="str" cm="1">
        <f t="array" ref="N851">_xlfn.IFS(calls[[#This Row],[Duration]]&lt;=10,"Under 10 mins", calls[[#This Row],[Duration]]&lt;=30, "10 to 30 mins", calls[[#This Row],[Duration]]&lt;=60, "30 to 60 mins", calls[[#This Row],[Duration]]&lt;=120, "1 to 2 hours", TRUE, "More than 2 hours")</f>
        <v>More than 2 hours</v>
      </c>
      <c r="O851">
        <f>ROUND(calls[[#This Row],[Satisfaction Rating]],0)</f>
        <v>3</v>
      </c>
    </row>
    <row r="852" spans="2:15" x14ac:dyDescent="0.25">
      <c r="B852" t="s">
        <v>873</v>
      </c>
      <c r="C852" t="s">
        <v>11</v>
      </c>
      <c r="D852">
        <f>VLOOKUP(C852,customers[],3,0)</f>
        <v>36</v>
      </c>
      <c r="E852" t="str">
        <f>VLOOKUP(C852,customers[],2,0)</f>
        <v>Male</v>
      </c>
      <c r="F852" t="str">
        <f>VLOOKUP(C852,customers[],4,0)</f>
        <v>Cincinnati</v>
      </c>
      <c r="G852">
        <v>117</v>
      </c>
      <c r="H852" s="17" t="s">
        <v>10</v>
      </c>
      <c r="I852" s="18">
        <v>45217</v>
      </c>
      <c r="J852">
        <v>120</v>
      </c>
      <c r="K852">
        <v>3.4</v>
      </c>
      <c r="L852">
        <f>IF(MONTH(calls[[#This Row],[Date of Call]])&lt;=6, YEAR(calls[[#This Row],[Date of Call]]), YEAR(calls[[#This Row],[Date of Call]])+1)</f>
        <v>2024</v>
      </c>
      <c r="M852" t="str">
        <f>TEXT(calls[[#This Row],[Date of Call]],"DDDD")</f>
        <v>الأربعاء</v>
      </c>
      <c r="N852" t="str" cm="1">
        <f t="array" ref="N852">_xlfn.IFS(calls[[#This Row],[Duration]]&lt;=10,"Under 10 mins", calls[[#This Row],[Duration]]&lt;=30, "10 to 30 mins", calls[[#This Row],[Duration]]&lt;=60, "30 to 60 mins", calls[[#This Row],[Duration]]&lt;=120, "1 to 2 hours", TRUE, "More than 2 hours")</f>
        <v>1 to 2 hours</v>
      </c>
      <c r="O852">
        <f>ROUND(calls[[#This Row],[Satisfaction Rating]],0)</f>
        <v>3</v>
      </c>
    </row>
    <row r="853" spans="2:15" x14ac:dyDescent="0.25">
      <c r="B853" t="s">
        <v>874</v>
      </c>
      <c r="C853" t="s">
        <v>19</v>
      </c>
      <c r="D853">
        <f>VLOOKUP(C853,customers[],3,0)</f>
        <v>26</v>
      </c>
      <c r="E853" t="str">
        <f>VLOOKUP(C853,customers[],2,0)</f>
        <v>Male</v>
      </c>
      <c r="F853" t="str">
        <f>VLOOKUP(C853,customers[],4,0)</f>
        <v>Cincinnati</v>
      </c>
      <c r="G853">
        <v>133</v>
      </c>
      <c r="H853" s="17" t="s">
        <v>8</v>
      </c>
      <c r="I853" s="18">
        <v>45217</v>
      </c>
      <c r="J853">
        <v>117</v>
      </c>
      <c r="K853">
        <v>4.8</v>
      </c>
      <c r="L853">
        <f>IF(MONTH(calls[[#This Row],[Date of Call]])&lt;=6, YEAR(calls[[#This Row],[Date of Call]]), YEAR(calls[[#This Row],[Date of Call]])+1)</f>
        <v>2024</v>
      </c>
      <c r="M853" t="str">
        <f>TEXT(calls[[#This Row],[Date of Call]],"DDDD")</f>
        <v>الأربعاء</v>
      </c>
      <c r="N853" t="str" cm="1">
        <f t="array" ref="N853">_xlfn.IFS(calls[[#This Row],[Duration]]&lt;=10,"Under 10 mins", calls[[#This Row],[Duration]]&lt;=30, "10 to 30 mins", calls[[#This Row],[Duration]]&lt;=60, "30 to 60 mins", calls[[#This Row],[Duration]]&lt;=120, "1 to 2 hours", TRUE, "More than 2 hours")</f>
        <v>More than 2 hours</v>
      </c>
      <c r="O853">
        <f>ROUND(calls[[#This Row],[Satisfaction Rating]],0)</f>
        <v>5</v>
      </c>
    </row>
    <row r="854" spans="2:15" x14ac:dyDescent="0.25">
      <c r="B854" t="s">
        <v>875</v>
      </c>
      <c r="C854" t="s">
        <v>23</v>
      </c>
      <c r="D854">
        <f>VLOOKUP(C854,customers[],3,0)</f>
        <v>31</v>
      </c>
      <c r="E854" t="str">
        <f>VLOOKUP(C854,customers[],2,0)</f>
        <v>Male</v>
      </c>
      <c r="F854" t="str">
        <f>VLOOKUP(C854,customers[],4,0)</f>
        <v>Cleveland</v>
      </c>
      <c r="G854">
        <v>166</v>
      </c>
      <c r="H854" s="17" t="s">
        <v>12</v>
      </c>
      <c r="I854" s="18">
        <v>45218</v>
      </c>
      <c r="J854">
        <v>29</v>
      </c>
      <c r="K854">
        <v>4.3</v>
      </c>
      <c r="L854">
        <f>IF(MONTH(calls[[#This Row],[Date of Call]])&lt;=6, YEAR(calls[[#This Row],[Date of Call]]), YEAR(calls[[#This Row],[Date of Call]])+1)</f>
        <v>2024</v>
      </c>
      <c r="M854" t="str">
        <f>TEXT(calls[[#This Row],[Date of Call]],"DDDD")</f>
        <v>الخميس</v>
      </c>
      <c r="N854" t="str" cm="1">
        <f t="array" ref="N854">_xlfn.IFS(calls[[#This Row],[Duration]]&lt;=10,"Under 10 mins", calls[[#This Row],[Duration]]&lt;=30, "10 to 30 mins", calls[[#This Row],[Duration]]&lt;=60, "30 to 60 mins", calls[[#This Row],[Duration]]&lt;=120, "1 to 2 hours", TRUE, "More than 2 hours")</f>
        <v>More than 2 hours</v>
      </c>
      <c r="O854">
        <f>ROUND(calls[[#This Row],[Satisfaction Rating]],0)</f>
        <v>4</v>
      </c>
    </row>
    <row r="855" spans="2:15" x14ac:dyDescent="0.25">
      <c r="B855" t="s">
        <v>876</v>
      </c>
      <c r="C855" t="s">
        <v>19</v>
      </c>
      <c r="D855">
        <f>VLOOKUP(C855,customers[],3,0)</f>
        <v>26</v>
      </c>
      <c r="E855" t="str">
        <f>VLOOKUP(C855,customers[],2,0)</f>
        <v>Male</v>
      </c>
      <c r="F855" t="str">
        <f>VLOOKUP(C855,customers[],4,0)</f>
        <v>Cincinnati</v>
      </c>
      <c r="G855">
        <v>50</v>
      </c>
      <c r="H855" s="17" t="s">
        <v>10</v>
      </c>
      <c r="I855" s="18">
        <v>45218</v>
      </c>
      <c r="J855">
        <v>64</v>
      </c>
      <c r="K855">
        <v>4.5</v>
      </c>
      <c r="L855">
        <f>IF(MONTH(calls[[#This Row],[Date of Call]])&lt;=6, YEAR(calls[[#This Row],[Date of Call]]), YEAR(calls[[#This Row],[Date of Call]])+1)</f>
        <v>2024</v>
      </c>
      <c r="M855" t="str">
        <f>TEXT(calls[[#This Row],[Date of Call]],"DDDD")</f>
        <v>الخميس</v>
      </c>
      <c r="N855" t="str" cm="1">
        <f t="array" ref="N855">_xlfn.IFS(calls[[#This Row],[Duration]]&lt;=10,"Under 10 mins", calls[[#This Row],[Duration]]&lt;=30, "10 to 30 mins", calls[[#This Row],[Duration]]&lt;=60, "30 to 60 mins", calls[[#This Row],[Duration]]&lt;=120, "1 to 2 hours", TRUE, "More than 2 hours")</f>
        <v>30 to 60 mins</v>
      </c>
      <c r="O855">
        <f>ROUND(calls[[#This Row],[Satisfaction Rating]],0)</f>
        <v>5</v>
      </c>
    </row>
    <row r="856" spans="2:15" x14ac:dyDescent="0.25">
      <c r="B856" t="s">
        <v>877</v>
      </c>
      <c r="C856" t="s">
        <v>18</v>
      </c>
      <c r="D856">
        <f>VLOOKUP(C856,customers[],3,0)</f>
        <v>43</v>
      </c>
      <c r="E856" t="str">
        <f>VLOOKUP(C856,customers[],2,0)</f>
        <v>Female</v>
      </c>
      <c r="F856" t="str">
        <f>VLOOKUP(C856,customers[],4,0)</f>
        <v>Cleveland</v>
      </c>
      <c r="G856">
        <v>43</v>
      </c>
      <c r="H856" s="17" t="s">
        <v>8</v>
      </c>
      <c r="I856" s="18">
        <v>45218</v>
      </c>
      <c r="J856">
        <v>84</v>
      </c>
      <c r="K856">
        <v>3.6</v>
      </c>
      <c r="L856">
        <f>IF(MONTH(calls[[#This Row],[Date of Call]])&lt;=6, YEAR(calls[[#This Row],[Date of Call]]), YEAR(calls[[#This Row],[Date of Call]])+1)</f>
        <v>2024</v>
      </c>
      <c r="M856" t="str">
        <f>TEXT(calls[[#This Row],[Date of Call]],"DDDD")</f>
        <v>الخميس</v>
      </c>
      <c r="N856" t="str" cm="1">
        <f t="array" ref="N856">_xlfn.IFS(calls[[#This Row],[Duration]]&lt;=10,"Under 10 mins", calls[[#This Row],[Duration]]&lt;=30, "10 to 30 mins", calls[[#This Row],[Duration]]&lt;=60, "30 to 60 mins", calls[[#This Row],[Duration]]&lt;=120, "1 to 2 hours", TRUE, "More than 2 hours")</f>
        <v>30 to 60 mins</v>
      </c>
      <c r="O856">
        <f>ROUND(calls[[#This Row],[Satisfaction Rating]],0)</f>
        <v>4</v>
      </c>
    </row>
    <row r="857" spans="2:15" x14ac:dyDescent="0.25">
      <c r="B857" t="s">
        <v>878</v>
      </c>
      <c r="C857" t="s">
        <v>13</v>
      </c>
      <c r="D857">
        <f>VLOOKUP(C857,customers[],3,0)</f>
        <v>37</v>
      </c>
      <c r="E857" t="str">
        <f>VLOOKUP(C857,customers[],2,0)</f>
        <v>Female</v>
      </c>
      <c r="F857" t="str">
        <f>VLOOKUP(C857,customers[],4,0)</f>
        <v>Cleveland</v>
      </c>
      <c r="G857">
        <v>124</v>
      </c>
      <c r="H857" s="17" t="s">
        <v>5</v>
      </c>
      <c r="I857" s="18">
        <v>45218</v>
      </c>
      <c r="J857">
        <v>42</v>
      </c>
      <c r="K857">
        <v>3.7</v>
      </c>
      <c r="L857">
        <f>IF(MONTH(calls[[#This Row],[Date of Call]])&lt;=6, YEAR(calls[[#This Row],[Date of Call]]), YEAR(calls[[#This Row],[Date of Call]])+1)</f>
        <v>2024</v>
      </c>
      <c r="M857" t="str">
        <f>TEXT(calls[[#This Row],[Date of Call]],"DDDD")</f>
        <v>الخميس</v>
      </c>
      <c r="N857" t="str" cm="1">
        <f t="array" ref="N857">_xlfn.IFS(calls[[#This Row],[Duration]]&lt;=10,"Under 10 mins", calls[[#This Row],[Duration]]&lt;=30, "10 to 30 mins", calls[[#This Row],[Duration]]&lt;=60, "30 to 60 mins", calls[[#This Row],[Duration]]&lt;=120, "1 to 2 hours", TRUE, "More than 2 hours")</f>
        <v>More than 2 hours</v>
      </c>
      <c r="O857">
        <f>ROUND(calls[[#This Row],[Satisfaction Rating]],0)</f>
        <v>4</v>
      </c>
    </row>
    <row r="858" spans="2:15" x14ac:dyDescent="0.25">
      <c r="B858" t="s">
        <v>879</v>
      </c>
      <c r="C858" t="s">
        <v>20</v>
      </c>
      <c r="D858">
        <f>VLOOKUP(C858,customers[],3,0)</f>
        <v>38</v>
      </c>
      <c r="E858" t="str">
        <f>VLOOKUP(C858,customers[],2,0)</f>
        <v>Female</v>
      </c>
      <c r="F858" t="str">
        <f>VLOOKUP(C858,customers[],4,0)</f>
        <v>Columbus</v>
      </c>
      <c r="G858">
        <v>94</v>
      </c>
      <c r="H858" s="17" t="s">
        <v>5</v>
      </c>
      <c r="I858" s="18">
        <v>45218</v>
      </c>
      <c r="J858">
        <v>120</v>
      </c>
      <c r="K858">
        <v>3.5</v>
      </c>
      <c r="L858">
        <f>IF(MONTH(calls[[#This Row],[Date of Call]])&lt;=6, YEAR(calls[[#This Row],[Date of Call]]), YEAR(calls[[#This Row],[Date of Call]])+1)</f>
        <v>2024</v>
      </c>
      <c r="M858" t="str">
        <f>TEXT(calls[[#This Row],[Date of Call]],"DDDD")</f>
        <v>الخميس</v>
      </c>
      <c r="N858" t="str" cm="1">
        <f t="array" ref="N858">_xlfn.IFS(calls[[#This Row],[Duration]]&lt;=10,"Under 10 mins", calls[[#This Row],[Duration]]&lt;=30, "10 to 30 mins", calls[[#This Row],[Duration]]&lt;=60, "30 to 60 mins", calls[[#This Row],[Duration]]&lt;=120, "1 to 2 hours", TRUE, "More than 2 hours")</f>
        <v>1 to 2 hours</v>
      </c>
      <c r="O858">
        <f>ROUND(calls[[#This Row],[Satisfaction Rating]],0)</f>
        <v>4</v>
      </c>
    </row>
    <row r="859" spans="2:15" x14ac:dyDescent="0.25">
      <c r="B859" t="s">
        <v>880</v>
      </c>
      <c r="C859" t="s">
        <v>18</v>
      </c>
      <c r="D859">
        <f>VLOOKUP(C859,customers[],3,0)</f>
        <v>43</v>
      </c>
      <c r="E859" t="str">
        <f>VLOOKUP(C859,customers[],2,0)</f>
        <v>Female</v>
      </c>
      <c r="F859" t="str">
        <f>VLOOKUP(C859,customers[],4,0)</f>
        <v>Cleveland</v>
      </c>
      <c r="G859">
        <v>126</v>
      </c>
      <c r="H859" s="17" t="s">
        <v>12</v>
      </c>
      <c r="I859" s="18">
        <v>45219</v>
      </c>
      <c r="J859">
        <v>80</v>
      </c>
      <c r="K859">
        <v>4.7</v>
      </c>
      <c r="L859">
        <f>IF(MONTH(calls[[#This Row],[Date of Call]])&lt;=6, YEAR(calls[[#This Row],[Date of Call]]), YEAR(calls[[#This Row],[Date of Call]])+1)</f>
        <v>2024</v>
      </c>
      <c r="M859" t="str">
        <f>TEXT(calls[[#This Row],[Date of Call]],"DDDD")</f>
        <v>الجمعة</v>
      </c>
      <c r="N859" t="str" cm="1">
        <f t="array" ref="N859">_xlfn.IFS(calls[[#This Row],[Duration]]&lt;=10,"Under 10 mins", calls[[#This Row],[Duration]]&lt;=30, "10 to 30 mins", calls[[#This Row],[Duration]]&lt;=60, "30 to 60 mins", calls[[#This Row],[Duration]]&lt;=120, "1 to 2 hours", TRUE, "More than 2 hours")</f>
        <v>More than 2 hours</v>
      </c>
      <c r="O859">
        <f>ROUND(calls[[#This Row],[Satisfaction Rating]],0)</f>
        <v>5</v>
      </c>
    </row>
    <row r="860" spans="2:15" x14ac:dyDescent="0.25">
      <c r="B860" t="s">
        <v>881</v>
      </c>
      <c r="C860" t="s">
        <v>23</v>
      </c>
      <c r="D860">
        <f>VLOOKUP(C860,customers[],3,0)</f>
        <v>31</v>
      </c>
      <c r="E860" t="str">
        <f>VLOOKUP(C860,customers[],2,0)</f>
        <v>Male</v>
      </c>
      <c r="F860" t="str">
        <f>VLOOKUP(C860,customers[],4,0)</f>
        <v>Cleveland</v>
      </c>
      <c r="G860">
        <v>105</v>
      </c>
      <c r="H860" s="17" t="s">
        <v>10</v>
      </c>
      <c r="I860" s="18">
        <v>45219</v>
      </c>
      <c r="J860">
        <v>185</v>
      </c>
      <c r="K860">
        <v>3.5</v>
      </c>
      <c r="L860">
        <f>IF(MONTH(calls[[#This Row],[Date of Call]])&lt;=6, YEAR(calls[[#This Row],[Date of Call]]), YEAR(calls[[#This Row],[Date of Call]])+1)</f>
        <v>2024</v>
      </c>
      <c r="M860" t="str">
        <f>TEXT(calls[[#This Row],[Date of Call]],"DDDD")</f>
        <v>الجمعة</v>
      </c>
      <c r="N860" t="str" cm="1">
        <f t="array" ref="N860">_xlfn.IFS(calls[[#This Row],[Duration]]&lt;=10,"Under 10 mins", calls[[#This Row],[Duration]]&lt;=30, "10 to 30 mins", calls[[#This Row],[Duration]]&lt;=60, "30 to 60 mins", calls[[#This Row],[Duration]]&lt;=120, "1 to 2 hours", TRUE, "More than 2 hours")</f>
        <v>1 to 2 hours</v>
      </c>
      <c r="O860">
        <f>ROUND(calls[[#This Row],[Satisfaction Rating]],0)</f>
        <v>4</v>
      </c>
    </row>
    <row r="861" spans="2:15" x14ac:dyDescent="0.25">
      <c r="B861" t="s">
        <v>882</v>
      </c>
      <c r="C861" t="s">
        <v>7</v>
      </c>
      <c r="D861">
        <f>VLOOKUP(C861,customers[],3,0)</f>
        <v>30</v>
      </c>
      <c r="E861" t="str">
        <f>VLOOKUP(C861,customers[],2,0)</f>
        <v>Female</v>
      </c>
      <c r="F861" t="str">
        <f>VLOOKUP(C861,customers[],4,0)</f>
        <v>Cincinnati</v>
      </c>
      <c r="G861">
        <v>60</v>
      </c>
      <c r="H861" s="17" t="s">
        <v>9</v>
      </c>
      <c r="I861" s="18">
        <v>45220</v>
      </c>
      <c r="J861">
        <v>135</v>
      </c>
      <c r="K861">
        <v>3.9</v>
      </c>
      <c r="L861">
        <f>IF(MONTH(calls[[#This Row],[Date of Call]])&lt;=6, YEAR(calls[[#This Row],[Date of Call]]), YEAR(calls[[#This Row],[Date of Call]])+1)</f>
        <v>2024</v>
      </c>
      <c r="M861" t="str">
        <f>TEXT(calls[[#This Row],[Date of Call]],"DDDD")</f>
        <v>السبت</v>
      </c>
      <c r="N861" t="str" cm="1">
        <f t="array" ref="N861">_xlfn.IFS(calls[[#This Row],[Duration]]&lt;=10,"Under 10 mins", calls[[#This Row],[Duration]]&lt;=30, "10 to 30 mins", calls[[#This Row],[Duration]]&lt;=60, "30 to 60 mins", calls[[#This Row],[Duration]]&lt;=120, "1 to 2 hours", TRUE, "More than 2 hours")</f>
        <v>30 to 60 mins</v>
      </c>
      <c r="O861">
        <f>ROUND(calls[[#This Row],[Satisfaction Rating]],0)</f>
        <v>4</v>
      </c>
    </row>
    <row r="862" spans="2:15" x14ac:dyDescent="0.25">
      <c r="B862" t="s">
        <v>883</v>
      </c>
      <c r="C862" t="s">
        <v>7</v>
      </c>
      <c r="D862">
        <f>VLOOKUP(C862,customers[],3,0)</f>
        <v>30</v>
      </c>
      <c r="E862" t="str">
        <f>VLOOKUP(C862,customers[],2,0)</f>
        <v>Female</v>
      </c>
      <c r="F862" t="str">
        <f>VLOOKUP(C862,customers[],4,0)</f>
        <v>Cincinnati</v>
      </c>
      <c r="G862">
        <v>72</v>
      </c>
      <c r="H862" s="17" t="s">
        <v>10</v>
      </c>
      <c r="I862" s="18">
        <v>45220</v>
      </c>
      <c r="J862">
        <v>20</v>
      </c>
      <c r="K862">
        <v>4.8</v>
      </c>
      <c r="L862">
        <f>IF(MONTH(calls[[#This Row],[Date of Call]])&lt;=6, YEAR(calls[[#This Row],[Date of Call]]), YEAR(calls[[#This Row],[Date of Call]])+1)</f>
        <v>2024</v>
      </c>
      <c r="M862" t="str">
        <f>TEXT(calls[[#This Row],[Date of Call]],"DDDD")</f>
        <v>السبت</v>
      </c>
      <c r="N862" t="str" cm="1">
        <f t="array" ref="N862">_xlfn.IFS(calls[[#This Row],[Duration]]&lt;=10,"Under 10 mins", calls[[#This Row],[Duration]]&lt;=30, "10 to 30 mins", calls[[#This Row],[Duration]]&lt;=60, "30 to 60 mins", calls[[#This Row],[Duration]]&lt;=120, "1 to 2 hours", TRUE, "More than 2 hours")</f>
        <v>1 to 2 hours</v>
      </c>
      <c r="O862">
        <f>ROUND(calls[[#This Row],[Satisfaction Rating]],0)</f>
        <v>5</v>
      </c>
    </row>
    <row r="863" spans="2:15" x14ac:dyDescent="0.25">
      <c r="B863" t="s">
        <v>884</v>
      </c>
      <c r="C863" t="s">
        <v>15</v>
      </c>
      <c r="D863">
        <f>VLOOKUP(C863,customers[],3,0)</f>
        <v>28</v>
      </c>
      <c r="E863" t="str">
        <f>VLOOKUP(C863,customers[],2,0)</f>
        <v>Female</v>
      </c>
      <c r="F863" t="str">
        <f>VLOOKUP(C863,customers[],4,0)</f>
        <v>Cincinnati</v>
      </c>
      <c r="G863">
        <v>40</v>
      </c>
      <c r="H863" s="17" t="s">
        <v>10</v>
      </c>
      <c r="I863" s="18">
        <v>45220</v>
      </c>
      <c r="J863">
        <v>31</v>
      </c>
      <c r="K863">
        <v>4</v>
      </c>
      <c r="L863">
        <f>IF(MONTH(calls[[#This Row],[Date of Call]])&lt;=6, YEAR(calls[[#This Row],[Date of Call]]), YEAR(calls[[#This Row],[Date of Call]])+1)</f>
        <v>2024</v>
      </c>
      <c r="M863" t="str">
        <f>TEXT(calls[[#This Row],[Date of Call]],"DDDD")</f>
        <v>السبت</v>
      </c>
      <c r="N863" t="str" cm="1">
        <f t="array" ref="N863">_xlfn.IFS(calls[[#This Row],[Duration]]&lt;=10,"Under 10 mins", calls[[#This Row],[Duration]]&lt;=30, "10 to 30 mins", calls[[#This Row],[Duration]]&lt;=60, "30 to 60 mins", calls[[#This Row],[Duration]]&lt;=120, "1 to 2 hours", TRUE, "More than 2 hours")</f>
        <v>30 to 60 mins</v>
      </c>
      <c r="O863">
        <f>ROUND(calls[[#This Row],[Satisfaction Rating]],0)</f>
        <v>4</v>
      </c>
    </row>
    <row r="864" spans="2:15" x14ac:dyDescent="0.25">
      <c r="B864" t="s">
        <v>885</v>
      </c>
      <c r="C864" t="s">
        <v>4</v>
      </c>
      <c r="D864">
        <f>VLOOKUP(C864,customers[],3,0)</f>
        <v>42</v>
      </c>
      <c r="E864" t="str">
        <f>VLOOKUP(C864,customers[],2,0)</f>
        <v>Female</v>
      </c>
      <c r="F864" t="str">
        <f>VLOOKUP(C864,customers[],4,0)</f>
        <v>Cleveland</v>
      </c>
      <c r="G864">
        <v>54</v>
      </c>
      <c r="H864" s="17" t="s">
        <v>12</v>
      </c>
      <c r="I864" s="18">
        <v>45221</v>
      </c>
      <c r="J864">
        <v>120</v>
      </c>
      <c r="K864">
        <v>4.7</v>
      </c>
      <c r="L864">
        <f>IF(MONTH(calls[[#This Row],[Date of Call]])&lt;=6, YEAR(calls[[#This Row],[Date of Call]]), YEAR(calls[[#This Row],[Date of Call]])+1)</f>
        <v>2024</v>
      </c>
      <c r="M864" t="str">
        <f>TEXT(calls[[#This Row],[Date of Call]],"DDDD")</f>
        <v>الأحد</v>
      </c>
      <c r="N864" t="str" cm="1">
        <f t="array" ref="N864">_xlfn.IFS(calls[[#This Row],[Duration]]&lt;=10,"Under 10 mins", calls[[#This Row],[Duration]]&lt;=30, "10 to 30 mins", calls[[#This Row],[Duration]]&lt;=60, "30 to 60 mins", calls[[#This Row],[Duration]]&lt;=120, "1 to 2 hours", TRUE, "More than 2 hours")</f>
        <v>30 to 60 mins</v>
      </c>
      <c r="O864">
        <f>ROUND(calls[[#This Row],[Satisfaction Rating]],0)</f>
        <v>5</v>
      </c>
    </row>
    <row r="865" spans="2:15" x14ac:dyDescent="0.25">
      <c r="B865" t="s">
        <v>886</v>
      </c>
      <c r="C865" t="s">
        <v>11</v>
      </c>
      <c r="D865">
        <f>VLOOKUP(C865,customers[],3,0)</f>
        <v>36</v>
      </c>
      <c r="E865" t="str">
        <f>VLOOKUP(C865,customers[],2,0)</f>
        <v>Male</v>
      </c>
      <c r="F865" t="str">
        <f>VLOOKUP(C865,customers[],4,0)</f>
        <v>Cincinnati</v>
      </c>
      <c r="G865">
        <v>81</v>
      </c>
      <c r="H865" s="17" t="s">
        <v>8</v>
      </c>
      <c r="I865" s="18">
        <v>45221</v>
      </c>
      <c r="J865">
        <v>117</v>
      </c>
      <c r="K865">
        <v>3.6</v>
      </c>
      <c r="L865">
        <f>IF(MONTH(calls[[#This Row],[Date of Call]])&lt;=6, YEAR(calls[[#This Row],[Date of Call]]), YEAR(calls[[#This Row],[Date of Call]])+1)</f>
        <v>2024</v>
      </c>
      <c r="M865" t="str">
        <f>TEXT(calls[[#This Row],[Date of Call]],"DDDD")</f>
        <v>الأحد</v>
      </c>
      <c r="N865" t="str" cm="1">
        <f t="array" ref="N865">_xlfn.IFS(calls[[#This Row],[Duration]]&lt;=10,"Under 10 mins", calls[[#This Row],[Duration]]&lt;=30, "10 to 30 mins", calls[[#This Row],[Duration]]&lt;=60, "30 to 60 mins", calls[[#This Row],[Duration]]&lt;=120, "1 to 2 hours", TRUE, "More than 2 hours")</f>
        <v>1 to 2 hours</v>
      </c>
      <c r="O865">
        <f>ROUND(calls[[#This Row],[Satisfaction Rating]],0)</f>
        <v>4</v>
      </c>
    </row>
    <row r="866" spans="2:15" x14ac:dyDescent="0.25">
      <c r="B866" t="s">
        <v>887</v>
      </c>
      <c r="C866" t="s">
        <v>4</v>
      </c>
      <c r="D866">
        <f>VLOOKUP(C866,customers[],3,0)</f>
        <v>42</v>
      </c>
      <c r="E866" t="str">
        <f>VLOOKUP(C866,customers[],2,0)</f>
        <v>Female</v>
      </c>
      <c r="F866" t="str">
        <f>VLOOKUP(C866,customers[],4,0)</f>
        <v>Cleveland</v>
      </c>
      <c r="G866">
        <v>76</v>
      </c>
      <c r="H866" s="17" t="s">
        <v>5</v>
      </c>
      <c r="I866" s="18">
        <v>45221</v>
      </c>
      <c r="J866">
        <v>80</v>
      </c>
      <c r="K866">
        <v>4.5</v>
      </c>
      <c r="L866">
        <f>IF(MONTH(calls[[#This Row],[Date of Call]])&lt;=6, YEAR(calls[[#This Row],[Date of Call]]), YEAR(calls[[#This Row],[Date of Call]])+1)</f>
        <v>2024</v>
      </c>
      <c r="M866" t="str">
        <f>TEXT(calls[[#This Row],[Date of Call]],"DDDD")</f>
        <v>الأحد</v>
      </c>
      <c r="N866" t="str" cm="1">
        <f t="array" ref="N866">_xlfn.IFS(calls[[#This Row],[Duration]]&lt;=10,"Under 10 mins", calls[[#This Row],[Duration]]&lt;=30, "10 to 30 mins", calls[[#This Row],[Duration]]&lt;=60, "30 to 60 mins", calls[[#This Row],[Duration]]&lt;=120, "1 to 2 hours", TRUE, "More than 2 hours")</f>
        <v>1 to 2 hours</v>
      </c>
      <c r="O866">
        <f>ROUND(calls[[#This Row],[Satisfaction Rating]],0)</f>
        <v>5</v>
      </c>
    </row>
    <row r="867" spans="2:15" x14ac:dyDescent="0.25">
      <c r="B867" t="s">
        <v>888</v>
      </c>
      <c r="C867" t="s">
        <v>4</v>
      </c>
      <c r="D867">
        <f>VLOOKUP(C867,customers[],3,0)</f>
        <v>42</v>
      </c>
      <c r="E867" t="str">
        <f>VLOOKUP(C867,customers[],2,0)</f>
        <v>Female</v>
      </c>
      <c r="F867" t="str">
        <f>VLOOKUP(C867,customers[],4,0)</f>
        <v>Cleveland</v>
      </c>
      <c r="G867">
        <v>37</v>
      </c>
      <c r="H867" s="17" t="s">
        <v>9</v>
      </c>
      <c r="I867" s="18">
        <v>45222</v>
      </c>
      <c r="J867">
        <v>117</v>
      </c>
      <c r="K867">
        <v>4</v>
      </c>
      <c r="L867">
        <f>IF(MONTH(calls[[#This Row],[Date of Call]])&lt;=6, YEAR(calls[[#This Row],[Date of Call]]), YEAR(calls[[#This Row],[Date of Call]])+1)</f>
        <v>2024</v>
      </c>
      <c r="M867" t="str">
        <f>TEXT(calls[[#This Row],[Date of Call]],"DDDD")</f>
        <v>الإثنين</v>
      </c>
      <c r="N867" t="str" cm="1">
        <f t="array" ref="N867">_xlfn.IFS(calls[[#This Row],[Duration]]&lt;=10,"Under 10 mins", calls[[#This Row],[Duration]]&lt;=30, "10 to 30 mins", calls[[#This Row],[Duration]]&lt;=60, "30 to 60 mins", calls[[#This Row],[Duration]]&lt;=120, "1 to 2 hours", TRUE, "More than 2 hours")</f>
        <v>30 to 60 mins</v>
      </c>
      <c r="O867">
        <f>ROUND(calls[[#This Row],[Satisfaction Rating]],0)</f>
        <v>4</v>
      </c>
    </row>
    <row r="868" spans="2:15" x14ac:dyDescent="0.25">
      <c r="B868" t="s">
        <v>889</v>
      </c>
      <c r="C868" t="s">
        <v>23</v>
      </c>
      <c r="D868">
        <f>VLOOKUP(C868,customers[],3,0)</f>
        <v>31</v>
      </c>
      <c r="E868" t="str">
        <f>VLOOKUP(C868,customers[],2,0)</f>
        <v>Male</v>
      </c>
      <c r="F868" t="str">
        <f>VLOOKUP(C868,customers[],4,0)</f>
        <v>Cleveland</v>
      </c>
      <c r="G868">
        <v>96</v>
      </c>
      <c r="H868" s="17" t="s">
        <v>12</v>
      </c>
      <c r="I868" s="18">
        <v>45222</v>
      </c>
      <c r="J868">
        <v>60</v>
      </c>
      <c r="K868">
        <v>4.5</v>
      </c>
      <c r="L868">
        <f>IF(MONTH(calls[[#This Row],[Date of Call]])&lt;=6, YEAR(calls[[#This Row],[Date of Call]]), YEAR(calls[[#This Row],[Date of Call]])+1)</f>
        <v>2024</v>
      </c>
      <c r="M868" t="str">
        <f>TEXT(calls[[#This Row],[Date of Call]],"DDDD")</f>
        <v>الإثنين</v>
      </c>
      <c r="N868" t="str" cm="1">
        <f t="array" ref="N868">_xlfn.IFS(calls[[#This Row],[Duration]]&lt;=10,"Under 10 mins", calls[[#This Row],[Duration]]&lt;=30, "10 to 30 mins", calls[[#This Row],[Duration]]&lt;=60, "30 to 60 mins", calls[[#This Row],[Duration]]&lt;=120, "1 to 2 hours", TRUE, "More than 2 hours")</f>
        <v>1 to 2 hours</v>
      </c>
      <c r="O868">
        <f>ROUND(calls[[#This Row],[Satisfaction Rating]],0)</f>
        <v>5</v>
      </c>
    </row>
    <row r="869" spans="2:15" x14ac:dyDescent="0.25">
      <c r="B869" t="s">
        <v>890</v>
      </c>
      <c r="C869" t="s">
        <v>7</v>
      </c>
      <c r="D869">
        <f>VLOOKUP(C869,customers[],3,0)</f>
        <v>30</v>
      </c>
      <c r="E869" t="str">
        <f>VLOOKUP(C869,customers[],2,0)</f>
        <v>Female</v>
      </c>
      <c r="F869" t="str">
        <f>VLOOKUP(C869,customers[],4,0)</f>
        <v>Cincinnati</v>
      </c>
      <c r="G869">
        <v>19</v>
      </c>
      <c r="H869" s="17" t="s">
        <v>5</v>
      </c>
      <c r="I869" s="18">
        <v>45223</v>
      </c>
      <c r="J869">
        <v>58</v>
      </c>
      <c r="K869">
        <v>3.9</v>
      </c>
      <c r="L869">
        <f>IF(MONTH(calls[[#This Row],[Date of Call]])&lt;=6, YEAR(calls[[#This Row],[Date of Call]]), YEAR(calls[[#This Row],[Date of Call]])+1)</f>
        <v>2024</v>
      </c>
      <c r="M869" t="str">
        <f>TEXT(calls[[#This Row],[Date of Call]],"DDDD")</f>
        <v>الثلاثاء</v>
      </c>
      <c r="N869" t="str" cm="1">
        <f t="array" ref="N869">_xlfn.IFS(calls[[#This Row],[Duration]]&lt;=10,"Under 10 mins", calls[[#This Row],[Duration]]&lt;=30, "10 to 30 mins", calls[[#This Row],[Duration]]&lt;=60, "30 to 60 mins", calls[[#This Row],[Duration]]&lt;=120, "1 to 2 hours", TRUE, "More than 2 hours")</f>
        <v>10 to 30 mins</v>
      </c>
      <c r="O869">
        <f>ROUND(calls[[#This Row],[Satisfaction Rating]],0)</f>
        <v>4</v>
      </c>
    </row>
    <row r="870" spans="2:15" x14ac:dyDescent="0.25">
      <c r="B870" t="s">
        <v>891</v>
      </c>
      <c r="C870" t="s">
        <v>15</v>
      </c>
      <c r="D870">
        <f>VLOOKUP(C870,customers[],3,0)</f>
        <v>28</v>
      </c>
      <c r="E870" t="str">
        <f>VLOOKUP(C870,customers[],2,0)</f>
        <v>Female</v>
      </c>
      <c r="F870" t="str">
        <f>VLOOKUP(C870,customers[],4,0)</f>
        <v>Cincinnati</v>
      </c>
      <c r="G870">
        <v>72</v>
      </c>
      <c r="H870" s="17" t="s">
        <v>9</v>
      </c>
      <c r="I870" s="18">
        <v>45223</v>
      </c>
      <c r="J870">
        <v>41</v>
      </c>
      <c r="K870">
        <v>4.3</v>
      </c>
      <c r="L870">
        <f>IF(MONTH(calls[[#This Row],[Date of Call]])&lt;=6, YEAR(calls[[#This Row],[Date of Call]]), YEAR(calls[[#This Row],[Date of Call]])+1)</f>
        <v>2024</v>
      </c>
      <c r="M870" t="str">
        <f>TEXT(calls[[#This Row],[Date of Call]],"DDDD")</f>
        <v>الثلاثاء</v>
      </c>
      <c r="N870" t="str" cm="1">
        <f t="array" ref="N870">_xlfn.IFS(calls[[#This Row],[Duration]]&lt;=10,"Under 10 mins", calls[[#This Row],[Duration]]&lt;=30, "10 to 30 mins", calls[[#This Row],[Duration]]&lt;=60, "30 to 60 mins", calls[[#This Row],[Duration]]&lt;=120, "1 to 2 hours", TRUE, "More than 2 hours")</f>
        <v>1 to 2 hours</v>
      </c>
      <c r="O870">
        <f>ROUND(calls[[#This Row],[Satisfaction Rating]],0)</f>
        <v>4</v>
      </c>
    </row>
    <row r="871" spans="2:15" x14ac:dyDescent="0.25">
      <c r="B871" t="s">
        <v>892</v>
      </c>
      <c r="C871" t="s">
        <v>20</v>
      </c>
      <c r="D871">
        <f>VLOOKUP(C871,customers[],3,0)</f>
        <v>38</v>
      </c>
      <c r="E871" t="str">
        <f>VLOOKUP(C871,customers[],2,0)</f>
        <v>Female</v>
      </c>
      <c r="F871" t="str">
        <f>VLOOKUP(C871,customers[],4,0)</f>
        <v>Columbus</v>
      </c>
      <c r="G871">
        <v>73</v>
      </c>
      <c r="H871" s="17" t="s">
        <v>8</v>
      </c>
      <c r="I871" s="18">
        <v>45223</v>
      </c>
      <c r="J871">
        <v>180</v>
      </c>
      <c r="K871">
        <v>3.6</v>
      </c>
      <c r="L871">
        <f>IF(MONTH(calls[[#This Row],[Date of Call]])&lt;=6, YEAR(calls[[#This Row],[Date of Call]]), YEAR(calls[[#This Row],[Date of Call]])+1)</f>
        <v>2024</v>
      </c>
      <c r="M871" t="str">
        <f>TEXT(calls[[#This Row],[Date of Call]],"DDDD")</f>
        <v>الثلاثاء</v>
      </c>
      <c r="N871" t="str" cm="1">
        <f t="array" ref="N871">_xlfn.IFS(calls[[#This Row],[Duration]]&lt;=10,"Under 10 mins", calls[[#This Row],[Duration]]&lt;=30, "10 to 30 mins", calls[[#This Row],[Duration]]&lt;=60, "30 to 60 mins", calls[[#This Row],[Duration]]&lt;=120, "1 to 2 hours", TRUE, "More than 2 hours")</f>
        <v>1 to 2 hours</v>
      </c>
      <c r="O871">
        <f>ROUND(calls[[#This Row],[Satisfaction Rating]],0)</f>
        <v>4</v>
      </c>
    </row>
    <row r="872" spans="2:15" x14ac:dyDescent="0.25">
      <c r="B872" t="s">
        <v>893</v>
      </c>
      <c r="C872" t="s">
        <v>16</v>
      </c>
      <c r="D872">
        <f>VLOOKUP(C872,customers[],3,0)</f>
        <v>41</v>
      </c>
      <c r="E872" t="str">
        <f>VLOOKUP(C872,customers[],2,0)</f>
        <v>Male</v>
      </c>
      <c r="F872" t="str">
        <f>VLOOKUP(C872,customers[],4,0)</f>
        <v>Columbus</v>
      </c>
      <c r="G872">
        <v>87</v>
      </c>
      <c r="H872" s="17" t="s">
        <v>8</v>
      </c>
      <c r="I872" s="18">
        <v>45223</v>
      </c>
      <c r="J872">
        <v>42</v>
      </c>
      <c r="K872">
        <v>3.6</v>
      </c>
      <c r="L872">
        <f>IF(MONTH(calls[[#This Row],[Date of Call]])&lt;=6, YEAR(calls[[#This Row],[Date of Call]]), YEAR(calls[[#This Row],[Date of Call]])+1)</f>
        <v>2024</v>
      </c>
      <c r="M872" t="str">
        <f>TEXT(calls[[#This Row],[Date of Call]],"DDDD")</f>
        <v>الثلاثاء</v>
      </c>
      <c r="N872" t="str" cm="1">
        <f t="array" ref="N872">_xlfn.IFS(calls[[#This Row],[Duration]]&lt;=10,"Under 10 mins", calls[[#This Row],[Duration]]&lt;=30, "10 to 30 mins", calls[[#This Row],[Duration]]&lt;=60, "30 to 60 mins", calls[[#This Row],[Duration]]&lt;=120, "1 to 2 hours", TRUE, "More than 2 hours")</f>
        <v>1 to 2 hours</v>
      </c>
      <c r="O872">
        <f>ROUND(calls[[#This Row],[Satisfaction Rating]],0)</f>
        <v>4</v>
      </c>
    </row>
    <row r="873" spans="2:15" x14ac:dyDescent="0.25">
      <c r="B873" t="s">
        <v>894</v>
      </c>
      <c r="C873" t="s">
        <v>16</v>
      </c>
      <c r="D873">
        <f>VLOOKUP(C873,customers[],3,0)</f>
        <v>41</v>
      </c>
      <c r="E873" t="str">
        <f>VLOOKUP(C873,customers[],2,0)</f>
        <v>Male</v>
      </c>
      <c r="F873" t="str">
        <f>VLOOKUP(C873,customers[],4,0)</f>
        <v>Columbus</v>
      </c>
      <c r="G873">
        <v>68</v>
      </c>
      <c r="H873" s="17" t="s">
        <v>8</v>
      </c>
      <c r="I873" s="18">
        <v>45224</v>
      </c>
      <c r="J873">
        <v>24</v>
      </c>
      <c r="K873">
        <v>4</v>
      </c>
      <c r="L873">
        <f>IF(MONTH(calls[[#This Row],[Date of Call]])&lt;=6, YEAR(calls[[#This Row],[Date of Call]]), YEAR(calls[[#This Row],[Date of Call]])+1)</f>
        <v>2024</v>
      </c>
      <c r="M873" t="str">
        <f>TEXT(calls[[#This Row],[Date of Call]],"DDDD")</f>
        <v>الأربعاء</v>
      </c>
      <c r="N873" t="str" cm="1">
        <f t="array" ref="N873">_xlfn.IFS(calls[[#This Row],[Duration]]&lt;=10,"Under 10 mins", calls[[#This Row],[Duration]]&lt;=30, "10 to 30 mins", calls[[#This Row],[Duration]]&lt;=60, "30 to 60 mins", calls[[#This Row],[Duration]]&lt;=120, "1 to 2 hours", TRUE, "More than 2 hours")</f>
        <v>1 to 2 hours</v>
      </c>
      <c r="O873">
        <f>ROUND(calls[[#This Row],[Satisfaction Rating]],0)</f>
        <v>4</v>
      </c>
    </row>
    <row r="874" spans="2:15" x14ac:dyDescent="0.25">
      <c r="B874" t="s">
        <v>895</v>
      </c>
      <c r="C874" t="s">
        <v>15</v>
      </c>
      <c r="D874">
        <f>VLOOKUP(C874,customers[],3,0)</f>
        <v>28</v>
      </c>
      <c r="E874" t="str">
        <f>VLOOKUP(C874,customers[],2,0)</f>
        <v>Female</v>
      </c>
      <c r="F874" t="str">
        <f>VLOOKUP(C874,customers[],4,0)</f>
        <v>Cincinnati</v>
      </c>
      <c r="G874">
        <v>101</v>
      </c>
      <c r="H874" s="17" t="s">
        <v>8</v>
      </c>
      <c r="I874" s="18">
        <v>45224</v>
      </c>
      <c r="J874">
        <v>125</v>
      </c>
      <c r="K874">
        <v>4.2</v>
      </c>
      <c r="L874">
        <f>IF(MONTH(calls[[#This Row],[Date of Call]])&lt;=6, YEAR(calls[[#This Row],[Date of Call]]), YEAR(calls[[#This Row],[Date of Call]])+1)</f>
        <v>2024</v>
      </c>
      <c r="M874" t="str">
        <f>TEXT(calls[[#This Row],[Date of Call]],"DDDD")</f>
        <v>الأربعاء</v>
      </c>
      <c r="N874" t="str" cm="1">
        <f t="array" ref="N874">_xlfn.IFS(calls[[#This Row],[Duration]]&lt;=10,"Under 10 mins", calls[[#This Row],[Duration]]&lt;=30, "10 to 30 mins", calls[[#This Row],[Duration]]&lt;=60, "30 to 60 mins", calls[[#This Row],[Duration]]&lt;=120, "1 to 2 hours", TRUE, "More than 2 hours")</f>
        <v>1 to 2 hours</v>
      </c>
      <c r="O874">
        <f>ROUND(calls[[#This Row],[Satisfaction Rating]],0)</f>
        <v>4</v>
      </c>
    </row>
    <row r="875" spans="2:15" x14ac:dyDescent="0.25">
      <c r="B875" t="s">
        <v>896</v>
      </c>
      <c r="C875" t="s">
        <v>15</v>
      </c>
      <c r="D875">
        <f>VLOOKUP(C875,customers[],3,0)</f>
        <v>28</v>
      </c>
      <c r="E875" t="str">
        <f>VLOOKUP(C875,customers[],2,0)</f>
        <v>Female</v>
      </c>
      <c r="F875" t="str">
        <f>VLOOKUP(C875,customers[],4,0)</f>
        <v>Cincinnati</v>
      </c>
      <c r="G875">
        <v>107</v>
      </c>
      <c r="H875" s="17" t="s">
        <v>9</v>
      </c>
      <c r="I875" s="18">
        <v>45225</v>
      </c>
      <c r="J875">
        <v>78</v>
      </c>
      <c r="K875">
        <v>4.3</v>
      </c>
      <c r="L875">
        <f>IF(MONTH(calls[[#This Row],[Date of Call]])&lt;=6, YEAR(calls[[#This Row],[Date of Call]]), YEAR(calls[[#This Row],[Date of Call]])+1)</f>
        <v>2024</v>
      </c>
      <c r="M875" t="str">
        <f>TEXT(calls[[#This Row],[Date of Call]],"DDDD")</f>
        <v>الخميس</v>
      </c>
      <c r="N875" t="str" cm="1">
        <f t="array" ref="N875">_xlfn.IFS(calls[[#This Row],[Duration]]&lt;=10,"Under 10 mins", calls[[#This Row],[Duration]]&lt;=30, "10 to 30 mins", calls[[#This Row],[Duration]]&lt;=60, "30 to 60 mins", calls[[#This Row],[Duration]]&lt;=120, "1 to 2 hours", TRUE, "More than 2 hours")</f>
        <v>1 to 2 hours</v>
      </c>
      <c r="O875">
        <f>ROUND(calls[[#This Row],[Satisfaction Rating]],0)</f>
        <v>4</v>
      </c>
    </row>
    <row r="876" spans="2:15" x14ac:dyDescent="0.25">
      <c r="B876" t="s">
        <v>897</v>
      </c>
      <c r="C876" t="s">
        <v>21</v>
      </c>
      <c r="D876">
        <f>VLOOKUP(C876,customers[],3,0)</f>
        <v>25</v>
      </c>
      <c r="E876" t="str">
        <f>VLOOKUP(C876,customers[],2,0)</f>
        <v>Female</v>
      </c>
      <c r="F876" t="str">
        <f>VLOOKUP(C876,customers[],4,0)</f>
        <v>Columbus</v>
      </c>
      <c r="G876">
        <v>109</v>
      </c>
      <c r="H876" s="17" t="s">
        <v>10</v>
      </c>
      <c r="I876" s="18">
        <v>45225</v>
      </c>
      <c r="J876">
        <v>180</v>
      </c>
      <c r="K876">
        <v>3.8</v>
      </c>
      <c r="L876">
        <f>IF(MONTH(calls[[#This Row],[Date of Call]])&lt;=6, YEAR(calls[[#This Row],[Date of Call]]), YEAR(calls[[#This Row],[Date of Call]])+1)</f>
        <v>2024</v>
      </c>
      <c r="M876" t="str">
        <f>TEXT(calls[[#This Row],[Date of Call]],"DDDD")</f>
        <v>الخميس</v>
      </c>
      <c r="N876" t="str" cm="1">
        <f t="array" ref="N876">_xlfn.IFS(calls[[#This Row],[Duration]]&lt;=10,"Under 10 mins", calls[[#This Row],[Duration]]&lt;=30, "10 to 30 mins", calls[[#This Row],[Duration]]&lt;=60, "30 to 60 mins", calls[[#This Row],[Duration]]&lt;=120, "1 to 2 hours", TRUE, "More than 2 hours")</f>
        <v>1 to 2 hours</v>
      </c>
      <c r="O876">
        <f>ROUND(calls[[#This Row],[Satisfaction Rating]],0)</f>
        <v>4</v>
      </c>
    </row>
    <row r="877" spans="2:15" x14ac:dyDescent="0.25">
      <c r="B877" t="s">
        <v>898</v>
      </c>
      <c r="C877" t="s">
        <v>13</v>
      </c>
      <c r="D877">
        <f>VLOOKUP(C877,customers[],3,0)</f>
        <v>37</v>
      </c>
      <c r="E877" t="str">
        <f>VLOOKUP(C877,customers[],2,0)</f>
        <v>Female</v>
      </c>
      <c r="F877" t="str">
        <f>VLOOKUP(C877,customers[],4,0)</f>
        <v>Cleveland</v>
      </c>
      <c r="G877">
        <v>171</v>
      </c>
      <c r="H877" s="17" t="s">
        <v>9</v>
      </c>
      <c r="I877" s="18">
        <v>45225</v>
      </c>
      <c r="J877">
        <v>84</v>
      </c>
      <c r="K877">
        <v>4.4000000000000004</v>
      </c>
      <c r="L877">
        <f>IF(MONTH(calls[[#This Row],[Date of Call]])&lt;=6, YEAR(calls[[#This Row],[Date of Call]]), YEAR(calls[[#This Row],[Date of Call]])+1)</f>
        <v>2024</v>
      </c>
      <c r="M877" t="str">
        <f>TEXT(calls[[#This Row],[Date of Call]],"DDDD")</f>
        <v>الخميس</v>
      </c>
      <c r="N877" t="str" cm="1">
        <f t="array" ref="N877">_xlfn.IFS(calls[[#This Row],[Duration]]&lt;=10,"Under 10 mins", calls[[#This Row],[Duration]]&lt;=30, "10 to 30 mins", calls[[#This Row],[Duration]]&lt;=60, "30 to 60 mins", calls[[#This Row],[Duration]]&lt;=120, "1 to 2 hours", TRUE, "More than 2 hours")</f>
        <v>More than 2 hours</v>
      </c>
      <c r="O877">
        <f>ROUND(calls[[#This Row],[Satisfaction Rating]],0)</f>
        <v>4</v>
      </c>
    </row>
    <row r="878" spans="2:15" x14ac:dyDescent="0.25">
      <c r="B878" t="s">
        <v>899</v>
      </c>
      <c r="C878" t="s">
        <v>7</v>
      </c>
      <c r="D878">
        <f>VLOOKUP(C878,customers[],3,0)</f>
        <v>30</v>
      </c>
      <c r="E878" t="str">
        <f>VLOOKUP(C878,customers[],2,0)</f>
        <v>Female</v>
      </c>
      <c r="F878" t="str">
        <f>VLOOKUP(C878,customers[],4,0)</f>
        <v>Cincinnati</v>
      </c>
      <c r="G878">
        <v>21</v>
      </c>
      <c r="H878" s="17" t="s">
        <v>9</v>
      </c>
      <c r="I878" s="18">
        <v>45225</v>
      </c>
      <c r="J878">
        <v>26</v>
      </c>
      <c r="K878">
        <v>4.7</v>
      </c>
      <c r="L878">
        <f>IF(MONTH(calls[[#This Row],[Date of Call]])&lt;=6, YEAR(calls[[#This Row],[Date of Call]]), YEAR(calls[[#This Row],[Date of Call]])+1)</f>
        <v>2024</v>
      </c>
      <c r="M878" t="str">
        <f>TEXT(calls[[#This Row],[Date of Call]],"DDDD")</f>
        <v>الخميس</v>
      </c>
      <c r="N878" t="str" cm="1">
        <f t="array" ref="N878">_xlfn.IFS(calls[[#This Row],[Duration]]&lt;=10,"Under 10 mins", calls[[#This Row],[Duration]]&lt;=30, "10 to 30 mins", calls[[#This Row],[Duration]]&lt;=60, "30 to 60 mins", calls[[#This Row],[Duration]]&lt;=120, "1 to 2 hours", TRUE, "More than 2 hours")</f>
        <v>10 to 30 mins</v>
      </c>
      <c r="O878">
        <f>ROUND(calls[[#This Row],[Satisfaction Rating]],0)</f>
        <v>5</v>
      </c>
    </row>
    <row r="879" spans="2:15" x14ac:dyDescent="0.25">
      <c r="B879" t="s">
        <v>900</v>
      </c>
      <c r="C879" t="s">
        <v>11</v>
      </c>
      <c r="D879">
        <f>VLOOKUP(C879,customers[],3,0)</f>
        <v>36</v>
      </c>
      <c r="E879" t="str">
        <f>VLOOKUP(C879,customers[],2,0)</f>
        <v>Male</v>
      </c>
      <c r="F879" t="str">
        <f>VLOOKUP(C879,customers[],4,0)</f>
        <v>Cincinnati</v>
      </c>
      <c r="G879">
        <v>94</v>
      </c>
      <c r="H879" s="17" t="s">
        <v>9</v>
      </c>
      <c r="I879" s="18">
        <v>45226</v>
      </c>
      <c r="J879">
        <v>140</v>
      </c>
      <c r="K879">
        <v>3.6</v>
      </c>
      <c r="L879">
        <f>IF(MONTH(calls[[#This Row],[Date of Call]])&lt;=6, YEAR(calls[[#This Row],[Date of Call]]), YEAR(calls[[#This Row],[Date of Call]])+1)</f>
        <v>2024</v>
      </c>
      <c r="M879" t="str">
        <f>TEXT(calls[[#This Row],[Date of Call]],"DDDD")</f>
        <v>الجمعة</v>
      </c>
      <c r="N879" t="str" cm="1">
        <f t="array" ref="N879">_xlfn.IFS(calls[[#This Row],[Duration]]&lt;=10,"Under 10 mins", calls[[#This Row],[Duration]]&lt;=30, "10 to 30 mins", calls[[#This Row],[Duration]]&lt;=60, "30 to 60 mins", calls[[#This Row],[Duration]]&lt;=120, "1 to 2 hours", TRUE, "More than 2 hours")</f>
        <v>1 to 2 hours</v>
      </c>
      <c r="O879">
        <f>ROUND(calls[[#This Row],[Satisfaction Rating]],0)</f>
        <v>4</v>
      </c>
    </row>
    <row r="880" spans="2:15" x14ac:dyDescent="0.25">
      <c r="B880" t="s">
        <v>901</v>
      </c>
      <c r="C880" t="s">
        <v>20</v>
      </c>
      <c r="D880">
        <f>VLOOKUP(C880,customers[],3,0)</f>
        <v>38</v>
      </c>
      <c r="E880" t="str">
        <f>VLOOKUP(C880,customers[],2,0)</f>
        <v>Female</v>
      </c>
      <c r="F880" t="str">
        <f>VLOOKUP(C880,customers[],4,0)</f>
        <v>Columbus</v>
      </c>
      <c r="G880">
        <v>97</v>
      </c>
      <c r="H880" s="17" t="s">
        <v>10</v>
      </c>
      <c r="I880" s="18">
        <v>45226</v>
      </c>
      <c r="J880">
        <v>31</v>
      </c>
      <c r="K880">
        <v>2.2000000000000002</v>
      </c>
      <c r="L880">
        <f>IF(MONTH(calls[[#This Row],[Date of Call]])&lt;=6, YEAR(calls[[#This Row],[Date of Call]]), YEAR(calls[[#This Row],[Date of Call]])+1)</f>
        <v>2024</v>
      </c>
      <c r="M880" t="str">
        <f>TEXT(calls[[#This Row],[Date of Call]],"DDDD")</f>
        <v>الجمعة</v>
      </c>
      <c r="N880" t="str" cm="1">
        <f t="array" ref="N880">_xlfn.IFS(calls[[#This Row],[Duration]]&lt;=10,"Under 10 mins", calls[[#This Row],[Duration]]&lt;=30, "10 to 30 mins", calls[[#This Row],[Duration]]&lt;=60, "30 to 60 mins", calls[[#This Row],[Duration]]&lt;=120, "1 to 2 hours", TRUE, "More than 2 hours")</f>
        <v>1 to 2 hours</v>
      </c>
      <c r="O880">
        <f>ROUND(calls[[#This Row],[Satisfaction Rating]],0)</f>
        <v>2</v>
      </c>
    </row>
    <row r="881" spans="2:15" x14ac:dyDescent="0.25">
      <c r="B881" t="s">
        <v>902</v>
      </c>
      <c r="C881" t="s">
        <v>23</v>
      </c>
      <c r="D881">
        <f>VLOOKUP(C881,customers[],3,0)</f>
        <v>31</v>
      </c>
      <c r="E881" t="str">
        <f>VLOOKUP(C881,customers[],2,0)</f>
        <v>Male</v>
      </c>
      <c r="F881" t="str">
        <f>VLOOKUP(C881,customers[],4,0)</f>
        <v>Cleveland</v>
      </c>
      <c r="G881">
        <v>72</v>
      </c>
      <c r="H881" s="17" t="s">
        <v>10</v>
      </c>
      <c r="I881" s="18">
        <v>45226</v>
      </c>
      <c r="J881">
        <v>108</v>
      </c>
      <c r="K881">
        <v>4.8</v>
      </c>
      <c r="L881">
        <f>IF(MONTH(calls[[#This Row],[Date of Call]])&lt;=6, YEAR(calls[[#This Row],[Date of Call]]), YEAR(calls[[#This Row],[Date of Call]])+1)</f>
        <v>2024</v>
      </c>
      <c r="M881" t="str">
        <f>TEXT(calls[[#This Row],[Date of Call]],"DDDD")</f>
        <v>الجمعة</v>
      </c>
      <c r="N881" t="str" cm="1">
        <f t="array" ref="N881">_xlfn.IFS(calls[[#This Row],[Duration]]&lt;=10,"Under 10 mins", calls[[#This Row],[Duration]]&lt;=30, "10 to 30 mins", calls[[#This Row],[Duration]]&lt;=60, "30 to 60 mins", calls[[#This Row],[Duration]]&lt;=120, "1 to 2 hours", TRUE, "More than 2 hours")</f>
        <v>1 to 2 hours</v>
      </c>
      <c r="O881">
        <f>ROUND(calls[[#This Row],[Satisfaction Rating]],0)</f>
        <v>5</v>
      </c>
    </row>
    <row r="882" spans="2:15" x14ac:dyDescent="0.25">
      <c r="B882" t="s">
        <v>903</v>
      </c>
      <c r="C882" t="s">
        <v>13</v>
      </c>
      <c r="D882">
        <f>VLOOKUP(C882,customers[],3,0)</f>
        <v>37</v>
      </c>
      <c r="E882" t="str">
        <f>VLOOKUP(C882,customers[],2,0)</f>
        <v>Female</v>
      </c>
      <c r="F882" t="str">
        <f>VLOOKUP(C882,customers[],4,0)</f>
        <v>Cleveland</v>
      </c>
      <c r="G882">
        <v>143</v>
      </c>
      <c r="H882" s="17" t="s">
        <v>12</v>
      </c>
      <c r="I882" s="18">
        <v>45227</v>
      </c>
      <c r="J882">
        <v>58</v>
      </c>
      <c r="K882">
        <v>4.3</v>
      </c>
      <c r="L882">
        <f>IF(MONTH(calls[[#This Row],[Date of Call]])&lt;=6, YEAR(calls[[#This Row],[Date of Call]]), YEAR(calls[[#This Row],[Date of Call]])+1)</f>
        <v>2024</v>
      </c>
      <c r="M882" t="str">
        <f>TEXT(calls[[#This Row],[Date of Call]],"DDDD")</f>
        <v>السبت</v>
      </c>
      <c r="N882" t="str" cm="1">
        <f t="array" ref="N882">_xlfn.IFS(calls[[#This Row],[Duration]]&lt;=10,"Under 10 mins", calls[[#This Row],[Duration]]&lt;=30, "10 to 30 mins", calls[[#This Row],[Duration]]&lt;=60, "30 to 60 mins", calls[[#This Row],[Duration]]&lt;=120, "1 to 2 hours", TRUE, "More than 2 hours")</f>
        <v>More than 2 hours</v>
      </c>
      <c r="O882">
        <f>ROUND(calls[[#This Row],[Satisfaction Rating]],0)</f>
        <v>4</v>
      </c>
    </row>
    <row r="883" spans="2:15" x14ac:dyDescent="0.25">
      <c r="B883" t="s">
        <v>904</v>
      </c>
      <c r="C883" t="s">
        <v>13</v>
      </c>
      <c r="D883">
        <f>VLOOKUP(C883,customers[],3,0)</f>
        <v>37</v>
      </c>
      <c r="E883" t="str">
        <f>VLOOKUP(C883,customers[],2,0)</f>
        <v>Female</v>
      </c>
      <c r="F883" t="str">
        <f>VLOOKUP(C883,customers[],4,0)</f>
        <v>Cleveland</v>
      </c>
      <c r="G883">
        <v>64</v>
      </c>
      <c r="H883" s="17" t="s">
        <v>10</v>
      </c>
      <c r="I883" s="18">
        <v>45227</v>
      </c>
      <c r="J883">
        <v>185</v>
      </c>
      <c r="K883">
        <v>2.2000000000000002</v>
      </c>
      <c r="L883">
        <f>IF(MONTH(calls[[#This Row],[Date of Call]])&lt;=6, YEAR(calls[[#This Row],[Date of Call]]), YEAR(calls[[#This Row],[Date of Call]])+1)</f>
        <v>2024</v>
      </c>
      <c r="M883" t="str">
        <f>TEXT(calls[[#This Row],[Date of Call]],"DDDD")</f>
        <v>السبت</v>
      </c>
      <c r="N883" t="str" cm="1">
        <f t="array" ref="N883">_xlfn.IFS(calls[[#This Row],[Duration]]&lt;=10,"Under 10 mins", calls[[#This Row],[Duration]]&lt;=30, "10 to 30 mins", calls[[#This Row],[Duration]]&lt;=60, "30 to 60 mins", calls[[#This Row],[Duration]]&lt;=120, "1 to 2 hours", TRUE, "More than 2 hours")</f>
        <v>1 to 2 hours</v>
      </c>
      <c r="O883">
        <f>ROUND(calls[[#This Row],[Satisfaction Rating]],0)</f>
        <v>2</v>
      </c>
    </row>
    <row r="884" spans="2:15" x14ac:dyDescent="0.25">
      <c r="B884" t="s">
        <v>905</v>
      </c>
      <c r="C884" t="s">
        <v>13</v>
      </c>
      <c r="D884">
        <f>VLOOKUP(C884,customers[],3,0)</f>
        <v>37</v>
      </c>
      <c r="E884" t="str">
        <f>VLOOKUP(C884,customers[],2,0)</f>
        <v>Female</v>
      </c>
      <c r="F884" t="str">
        <f>VLOOKUP(C884,customers[],4,0)</f>
        <v>Cleveland</v>
      </c>
      <c r="G884">
        <v>69</v>
      </c>
      <c r="H884" s="17" t="s">
        <v>10</v>
      </c>
      <c r="I884" s="18">
        <v>45227</v>
      </c>
      <c r="J884">
        <v>40</v>
      </c>
      <c r="K884">
        <v>4.8</v>
      </c>
      <c r="L884">
        <f>IF(MONTH(calls[[#This Row],[Date of Call]])&lt;=6, YEAR(calls[[#This Row],[Date of Call]]), YEAR(calls[[#This Row],[Date of Call]])+1)</f>
        <v>2024</v>
      </c>
      <c r="M884" t="str">
        <f>TEXT(calls[[#This Row],[Date of Call]],"DDDD")</f>
        <v>السبت</v>
      </c>
      <c r="N884" t="str" cm="1">
        <f t="array" ref="N884">_xlfn.IFS(calls[[#This Row],[Duration]]&lt;=10,"Under 10 mins", calls[[#This Row],[Duration]]&lt;=30, "10 to 30 mins", calls[[#This Row],[Duration]]&lt;=60, "30 to 60 mins", calls[[#This Row],[Duration]]&lt;=120, "1 to 2 hours", TRUE, "More than 2 hours")</f>
        <v>1 to 2 hours</v>
      </c>
      <c r="O884">
        <f>ROUND(calls[[#This Row],[Satisfaction Rating]],0)</f>
        <v>5</v>
      </c>
    </row>
    <row r="885" spans="2:15" x14ac:dyDescent="0.25">
      <c r="B885" t="s">
        <v>906</v>
      </c>
      <c r="C885" t="s">
        <v>13</v>
      </c>
      <c r="D885">
        <f>VLOOKUP(C885,customers[],3,0)</f>
        <v>37</v>
      </c>
      <c r="E885" t="str">
        <f>VLOOKUP(C885,customers[],2,0)</f>
        <v>Female</v>
      </c>
      <c r="F885" t="str">
        <f>VLOOKUP(C885,customers[],4,0)</f>
        <v>Cleveland</v>
      </c>
      <c r="G885">
        <v>18</v>
      </c>
      <c r="H885" s="17" t="s">
        <v>5</v>
      </c>
      <c r="I885" s="18">
        <v>45227</v>
      </c>
      <c r="J885">
        <v>225</v>
      </c>
      <c r="K885">
        <v>2.6</v>
      </c>
      <c r="L885">
        <f>IF(MONTH(calls[[#This Row],[Date of Call]])&lt;=6, YEAR(calls[[#This Row],[Date of Call]]), YEAR(calls[[#This Row],[Date of Call]])+1)</f>
        <v>2024</v>
      </c>
      <c r="M885" t="str">
        <f>TEXT(calls[[#This Row],[Date of Call]],"DDDD")</f>
        <v>السبت</v>
      </c>
      <c r="N885" t="str" cm="1">
        <f t="array" ref="N885">_xlfn.IFS(calls[[#This Row],[Duration]]&lt;=10,"Under 10 mins", calls[[#This Row],[Duration]]&lt;=30, "10 to 30 mins", calls[[#This Row],[Duration]]&lt;=60, "30 to 60 mins", calls[[#This Row],[Duration]]&lt;=120, "1 to 2 hours", TRUE, "More than 2 hours")</f>
        <v>10 to 30 mins</v>
      </c>
      <c r="O885">
        <f>ROUND(calls[[#This Row],[Satisfaction Rating]],0)</f>
        <v>3</v>
      </c>
    </row>
    <row r="886" spans="2:15" x14ac:dyDescent="0.25">
      <c r="B886" t="s">
        <v>907</v>
      </c>
      <c r="C886" t="s">
        <v>20</v>
      </c>
      <c r="D886">
        <f>VLOOKUP(C886,customers[],3,0)</f>
        <v>38</v>
      </c>
      <c r="E886" t="str">
        <f>VLOOKUP(C886,customers[],2,0)</f>
        <v>Female</v>
      </c>
      <c r="F886" t="str">
        <f>VLOOKUP(C886,customers[],4,0)</f>
        <v>Columbus</v>
      </c>
      <c r="G886">
        <v>100</v>
      </c>
      <c r="H886" s="17" t="s">
        <v>12</v>
      </c>
      <c r="I886" s="18">
        <v>45227</v>
      </c>
      <c r="J886">
        <v>150</v>
      </c>
      <c r="K886">
        <v>2.6</v>
      </c>
      <c r="L886">
        <f>IF(MONTH(calls[[#This Row],[Date of Call]])&lt;=6, YEAR(calls[[#This Row],[Date of Call]]), YEAR(calls[[#This Row],[Date of Call]])+1)</f>
        <v>2024</v>
      </c>
      <c r="M886" t="str">
        <f>TEXT(calls[[#This Row],[Date of Call]],"DDDD")</f>
        <v>السبت</v>
      </c>
      <c r="N886" t="str" cm="1">
        <f t="array" ref="N886">_xlfn.IFS(calls[[#This Row],[Duration]]&lt;=10,"Under 10 mins", calls[[#This Row],[Duration]]&lt;=30, "10 to 30 mins", calls[[#This Row],[Duration]]&lt;=60, "30 to 60 mins", calls[[#This Row],[Duration]]&lt;=120, "1 to 2 hours", TRUE, "More than 2 hours")</f>
        <v>1 to 2 hours</v>
      </c>
      <c r="O886">
        <f>ROUND(calls[[#This Row],[Satisfaction Rating]],0)</f>
        <v>3</v>
      </c>
    </row>
    <row r="887" spans="2:15" x14ac:dyDescent="0.25">
      <c r="B887" t="s">
        <v>908</v>
      </c>
      <c r="C887" t="s">
        <v>17</v>
      </c>
      <c r="D887">
        <f>VLOOKUP(C887,customers[],3,0)</f>
        <v>30</v>
      </c>
      <c r="E887" t="str">
        <f>VLOOKUP(C887,customers[],2,0)</f>
        <v>Female</v>
      </c>
      <c r="F887" t="str">
        <f>VLOOKUP(C887,customers[],4,0)</f>
        <v>Cleveland</v>
      </c>
      <c r="G887">
        <v>110</v>
      </c>
      <c r="H887" s="17" t="s">
        <v>8</v>
      </c>
      <c r="I887" s="18">
        <v>45228</v>
      </c>
      <c r="J887">
        <v>88</v>
      </c>
      <c r="K887">
        <v>3.4</v>
      </c>
      <c r="L887">
        <f>IF(MONTH(calls[[#This Row],[Date of Call]])&lt;=6, YEAR(calls[[#This Row],[Date of Call]]), YEAR(calls[[#This Row],[Date of Call]])+1)</f>
        <v>2024</v>
      </c>
      <c r="M887" t="str">
        <f>TEXT(calls[[#This Row],[Date of Call]],"DDDD")</f>
        <v>الأحد</v>
      </c>
      <c r="N887" t="str" cm="1">
        <f t="array" ref="N887">_xlfn.IFS(calls[[#This Row],[Duration]]&lt;=10,"Under 10 mins", calls[[#This Row],[Duration]]&lt;=30, "10 to 30 mins", calls[[#This Row],[Duration]]&lt;=60, "30 to 60 mins", calls[[#This Row],[Duration]]&lt;=120, "1 to 2 hours", TRUE, "More than 2 hours")</f>
        <v>1 to 2 hours</v>
      </c>
      <c r="O887">
        <f>ROUND(calls[[#This Row],[Satisfaction Rating]],0)</f>
        <v>3</v>
      </c>
    </row>
    <row r="888" spans="2:15" x14ac:dyDescent="0.25">
      <c r="B888" t="s">
        <v>909</v>
      </c>
      <c r="C888" t="s">
        <v>6</v>
      </c>
      <c r="D888">
        <f>VLOOKUP(C888,customers[],3,0)</f>
        <v>23</v>
      </c>
      <c r="E888" t="str">
        <f>VLOOKUP(C888,customers[],2,0)</f>
        <v>Male</v>
      </c>
      <c r="F888" t="str">
        <f>VLOOKUP(C888,customers[],4,0)</f>
        <v>Columbus</v>
      </c>
      <c r="G888">
        <v>41</v>
      </c>
      <c r="H888" s="17" t="s">
        <v>9</v>
      </c>
      <c r="I888" s="18">
        <v>45228</v>
      </c>
      <c r="J888">
        <v>140</v>
      </c>
      <c r="K888">
        <v>3.7</v>
      </c>
      <c r="L888">
        <f>IF(MONTH(calls[[#This Row],[Date of Call]])&lt;=6, YEAR(calls[[#This Row],[Date of Call]]), YEAR(calls[[#This Row],[Date of Call]])+1)</f>
        <v>2024</v>
      </c>
      <c r="M888" t="str">
        <f>TEXT(calls[[#This Row],[Date of Call]],"DDDD")</f>
        <v>الأحد</v>
      </c>
      <c r="N888" t="str" cm="1">
        <f t="array" ref="N888">_xlfn.IFS(calls[[#This Row],[Duration]]&lt;=10,"Under 10 mins", calls[[#This Row],[Duration]]&lt;=30, "10 to 30 mins", calls[[#This Row],[Duration]]&lt;=60, "30 to 60 mins", calls[[#This Row],[Duration]]&lt;=120, "1 to 2 hours", TRUE, "More than 2 hours")</f>
        <v>30 to 60 mins</v>
      </c>
      <c r="O888">
        <f>ROUND(calls[[#This Row],[Satisfaction Rating]],0)</f>
        <v>4</v>
      </c>
    </row>
    <row r="889" spans="2:15" x14ac:dyDescent="0.25">
      <c r="B889" t="s">
        <v>910</v>
      </c>
      <c r="C889" t="s">
        <v>17</v>
      </c>
      <c r="D889">
        <f>VLOOKUP(C889,customers[],3,0)</f>
        <v>30</v>
      </c>
      <c r="E889" t="str">
        <f>VLOOKUP(C889,customers[],2,0)</f>
        <v>Female</v>
      </c>
      <c r="F889" t="str">
        <f>VLOOKUP(C889,customers[],4,0)</f>
        <v>Cleveland</v>
      </c>
      <c r="G889">
        <v>147</v>
      </c>
      <c r="H889" s="17" t="s">
        <v>8</v>
      </c>
      <c r="I889" s="18">
        <v>45228</v>
      </c>
      <c r="J889">
        <v>68</v>
      </c>
      <c r="K889">
        <v>2.1</v>
      </c>
      <c r="L889">
        <f>IF(MONTH(calls[[#This Row],[Date of Call]])&lt;=6, YEAR(calls[[#This Row],[Date of Call]]), YEAR(calls[[#This Row],[Date of Call]])+1)</f>
        <v>2024</v>
      </c>
      <c r="M889" t="str">
        <f>TEXT(calls[[#This Row],[Date of Call]],"DDDD")</f>
        <v>الأحد</v>
      </c>
      <c r="N889" t="str" cm="1">
        <f t="array" ref="N889">_xlfn.IFS(calls[[#This Row],[Duration]]&lt;=10,"Under 10 mins", calls[[#This Row],[Duration]]&lt;=30, "10 to 30 mins", calls[[#This Row],[Duration]]&lt;=60, "30 to 60 mins", calls[[#This Row],[Duration]]&lt;=120, "1 to 2 hours", TRUE, "More than 2 hours")</f>
        <v>More than 2 hours</v>
      </c>
      <c r="O889">
        <f>ROUND(calls[[#This Row],[Satisfaction Rating]],0)</f>
        <v>2</v>
      </c>
    </row>
    <row r="890" spans="2:15" x14ac:dyDescent="0.25">
      <c r="B890" t="s">
        <v>911</v>
      </c>
      <c r="C890" t="s">
        <v>11</v>
      </c>
      <c r="D890">
        <f>VLOOKUP(C890,customers[],3,0)</f>
        <v>36</v>
      </c>
      <c r="E890" t="str">
        <f>VLOOKUP(C890,customers[],2,0)</f>
        <v>Male</v>
      </c>
      <c r="F890" t="str">
        <f>VLOOKUP(C890,customers[],4,0)</f>
        <v>Cincinnati</v>
      </c>
      <c r="G890">
        <v>31</v>
      </c>
      <c r="H890" s="17" t="s">
        <v>5</v>
      </c>
      <c r="I890" s="18">
        <v>45229</v>
      </c>
      <c r="J890">
        <v>105</v>
      </c>
      <c r="K890">
        <v>3.6</v>
      </c>
      <c r="L890">
        <f>IF(MONTH(calls[[#This Row],[Date of Call]])&lt;=6, YEAR(calls[[#This Row],[Date of Call]]), YEAR(calls[[#This Row],[Date of Call]])+1)</f>
        <v>2024</v>
      </c>
      <c r="M890" t="str">
        <f>TEXT(calls[[#This Row],[Date of Call]],"DDDD")</f>
        <v>الإثنين</v>
      </c>
      <c r="N890" t="str" cm="1">
        <f t="array" ref="N890">_xlfn.IFS(calls[[#This Row],[Duration]]&lt;=10,"Under 10 mins", calls[[#This Row],[Duration]]&lt;=30, "10 to 30 mins", calls[[#This Row],[Duration]]&lt;=60, "30 to 60 mins", calls[[#This Row],[Duration]]&lt;=120, "1 to 2 hours", TRUE, "More than 2 hours")</f>
        <v>30 to 60 mins</v>
      </c>
      <c r="O890">
        <f>ROUND(calls[[#This Row],[Satisfaction Rating]],0)</f>
        <v>4</v>
      </c>
    </row>
    <row r="891" spans="2:15" x14ac:dyDescent="0.25">
      <c r="B891" t="s">
        <v>912</v>
      </c>
      <c r="C891" t="s">
        <v>16</v>
      </c>
      <c r="D891">
        <f>VLOOKUP(C891,customers[],3,0)</f>
        <v>41</v>
      </c>
      <c r="E891" t="str">
        <f>VLOOKUP(C891,customers[],2,0)</f>
        <v>Male</v>
      </c>
      <c r="F891" t="str">
        <f>VLOOKUP(C891,customers[],4,0)</f>
        <v>Columbus</v>
      </c>
      <c r="G891">
        <v>142</v>
      </c>
      <c r="H891" s="17" t="s">
        <v>9</v>
      </c>
      <c r="I891" s="18">
        <v>45229</v>
      </c>
      <c r="J891">
        <v>40</v>
      </c>
      <c r="K891">
        <v>3.8</v>
      </c>
      <c r="L891">
        <f>IF(MONTH(calls[[#This Row],[Date of Call]])&lt;=6, YEAR(calls[[#This Row],[Date of Call]]), YEAR(calls[[#This Row],[Date of Call]])+1)</f>
        <v>2024</v>
      </c>
      <c r="M891" t="str">
        <f>TEXT(calls[[#This Row],[Date of Call]],"DDDD")</f>
        <v>الإثنين</v>
      </c>
      <c r="N891" t="str" cm="1">
        <f t="array" ref="N891">_xlfn.IFS(calls[[#This Row],[Duration]]&lt;=10,"Under 10 mins", calls[[#This Row],[Duration]]&lt;=30, "10 to 30 mins", calls[[#This Row],[Duration]]&lt;=60, "30 to 60 mins", calls[[#This Row],[Duration]]&lt;=120, "1 to 2 hours", TRUE, "More than 2 hours")</f>
        <v>More than 2 hours</v>
      </c>
      <c r="O891">
        <f>ROUND(calls[[#This Row],[Satisfaction Rating]],0)</f>
        <v>4</v>
      </c>
    </row>
    <row r="892" spans="2:15" x14ac:dyDescent="0.25">
      <c r="B892" t="s">
        <v>913</v>
      </c>
      <c r="C892" t="s">
        <v>21</v>
      </c>
      <c r="D892">
        <f>VLOOKUP(C892,customers[],3,0)</f>
        <v>25</v>
      </c>
      <c r="E892" t="str">
        <f>VLOOKUP(C892,customers[],2,0)</f>
        <v>Female</v>
      </c>
      <c r="F892" t="str">
        <f>VLOOKUP(C892,customers[],4,0)</f>
        <v>Columbus</v>
      </c>
      <c r="G892">
        <v>61</v>
      </c>
      <c r="H892" s="17" t="s">
        <v>9</v>
      </c>
      <c r="I892" s="18">
        <v>45229</v>
      </c>
      <c r="J892">
        <v>82</v>
      </c>
      <c r="K892">
        <v>3.1</v>
      </c>
      <c r="L892">
        <f>IF(MONTH(calls[[#This Row],[Date of Call]])&lt;=6, YEAR(calls[[#This Row],[Date of Call]]), YEAR(calls[[#This Row],[Date of Call]])+1)</f>
        <v>2024</v>
      </c>
      <c r="M892" t="str">
        <f>TEXT(calls[[#This Row],[Date of Call]],"DDDD")</f>
        <v>الإثنين</v>
      </c>
      <c r="N892" t="str" cm="1">
        <f t="array" ref="N892">_xlfn.IFS(calls[[#This Row],[Duration]]&lt;=10,"Under 10 mins", calls[[#This Row],[Duration]]&lt;=30, "10 to 30 mins", calls[[#This Row],[Duration]]&lt;=60, "30 to 60 mins", calls[[#This Row],[Duration]]&lt;=120, "1 to 2 hours", TRUE, "More than 2 hours")</f>
        <v>1 to 2 hours</v>
      </c>
      <c r="O892">
        <f>ROUND(calls[[#This Row],[Satisfaction Rating]],0)</f>
        <v>3</v>
      </c>
    </row>
    <row r="893" spans="2:15" x14ac:dyDescent="0.25">
      <c r="B893" t="s">
        <v>914</v>
      </c>
      <c r="C893" t="s">
        <v>19</v>
      </c>
      <c r="D893">
        <f>VLOOKUP(C893,customers[],3,0)</f>
        <v>26</v>
      </c>
      <c r="E893" t="str">
        <f>VLOOKUP(C893,customers[],2,0)</f>
        <v>Male</v>
      </c>
      <c r="F893" t="str">
        <f>VLOOKUP(C893,customers[],4,0)</f>
        <v>Cincinnati</v>
      </c>
      <c r="G893">
        <v>86</v>
      </c>
      <c r="H893" s="17" t="s">
        <v>5</v>
      </c>
      <c r="I893" s="18">
        <v>45230</v>
      </c>
      <c r="J893">
        <v>90</v>
      </c>
      <c r="K893">
        <v>4.4000000000000004</v>
      </c>
      <c r="L893">
        <f>IF(MONTH(calls[[#This Row],[Date of Call]])&lt;=6, YEAR(calls[[#This Row],[Date of Call]]), YEAR(calls[[#This Row],[Date of Call]])+1)</f>
        <v>2024</v>
      </c>
      <c r="M893" t="str">
        <f>TEXT(calls[[#This Row],[Date of Call]],"DDDD")</f>
        <v>الثلاثاء</v>
      </c>
      <c r="N893" t="str" cm="1">
        <f t="array" ref="N893">_xlfn.IFS(calls[[#This Row],[Duration]]&lt;=10,"Under 10 mins", calls[[#This Row],[Duration]]&lt;=30, "10 to 30 mins", calls[[#This Row],[Duration]]&lt;=60, "30 to 60 mins", calls[[#This Row],[Duration]]&lt;=120, "1 to 2 hours", TRUE, "More than 2 hours")</f>
        <v>1 to 2 hours</v>
      </c>
      <c r="O893">
        <f>ROUND(calls[[#This Row],[Satisfaction Rating]],0)</f>
        <v>4</v>
      </c>
    </row>
    <row r="894" spans="2:15" x14ac:dyDescent="0.25">
      <c r="B894" t="s">
        <v>915</v>
      </c>
      <c r="C894" t="s">
        <v>22</v>
      </c>
      <c r="D894">
        <f>VLOOKUP(C894,customers[],3,0)</f>
        <v>37</v>
      </c>
      <c r="E894" t="str">
        <f>VLOOKUP(C894,customers[],2,0)</f>
        <v>Male</v>
      </c>
      <c r="F894" t="str">
        <f>VLOOKUP(C894,customers[],4,0)</f>
        <v>Columbus</v>
      </c>
      <c r="G894">
        <v>165</v>
      </c>
      <c r="H894" s="17" t="s">
        <v>12</v>
      </c>
      <c r="I894" s="18">
        <v>45231</v>
      </c>
      <c r="J894">
        <v>66</v>
      </c>
      <c r="K894">
        <v>4.8</v>
      </c>
      <c r="L894">
        <f>IF(MONTH(calls[[#This Row],[Date of Call]])&lt;=6, YEAR(calls[[#This Row],[Date of Call]]), YEAR(calls[[#This Row],[Date of Call]])+1)</f>
        <v>2024</v>
      </c>
      <c r="M894" t="str">
        <f>TEXT(calls[[#This Row],[Date of Call]],"DDDD")</f>
        <v>الأربعاء</v>
      </c>
      <c r="N894" t="str" cm="1">
        <f t="array" ref="N894">_xlfn.IFS(calls[[#This Row],[Duration]]&lt;=10,"Under 10 mins", calls[[#This Row],[Duration]]&lt;=30, "10 to 30 mins", calls[[#This Row],[Duration]]&lt;=60, "30 to 60 mins", calls[[#This Row],[Duration]]&lt;=120, "1 to 2 hours", TRUE, "More than 2 hours")</f>
        <v>More than 2 hours</v>
      </c>
      <c r="O894">
        <f>ROUND(calls[[#This Row],[Satisfaction Rating]],0)</f>
        <v>5</v>
      </c>
    </row>
    <row r="895" spans="2:15" x14ac:dyDescent="0.25">
      <c r="B895" t="s">
        <v>916</v>
      </c>
      <c r="C895" t="s">
        <v>4</v>
      </c>
      <c r="D895">
        <f>VLOOKUP(C895,customers[],3,0)</f>
        <v>42</v>
      </c>
      <c r="E895" t="str">
        <f>VLOOKUP(C895,customers[],2,0)</f>
        <v>Female</v>
      </c>
      <c r="F895" t="str">
        <f>VLOOKUP(C895,customers[],4,0)</f>
        <v>Cleveland</v>
      </c>
      <c r="G895">
        <v>62</v>
      </c>
      <c r="H895" s="17" t="s">
        <v>8</v>
      </c>
      <c r="I895" s="18">
        <v>45231</v>
      </c>
      <c r="J895">
        <v>78</v>
      </c>
      <c r="K895">
        <v>3.5</v>
      </c>
      <c r="L895">
        <f>IF(MONTH(calls[[#This Row],[Date of Call]])&lt;=6, YEAR(calls[[#This Row],[Date of Call]]), YEAR(calls[[#This Row],[Date of Call]])+1)</f>
        <v>2024</v>
      </c>
      <c r="M895" t="str">
        <f>TEXT(calls[[#This Row],[Date of Call]],"DDDD")</f>
        <v>الأربعاء</v>
      </c>
      <c r="N895" t="str" cm="1">
        <f t="array" ref="N895">_xlfn.IFS(calls[[#This Row],[Duration]]&lt;=10,"Under 10 mins", calls[[#This Row],[Duration]]&lt;=30, "10 to 30 mins", calls[[#This Row],[Duration]]&lt;=60, "30 to 60 mins", calls[[#This Row],[Duration]]&lt;=120, "1 to 2 hours", TRUE, "More than 2 hours")</f>
        <v>1 to 2 hours</v>
      </c>
      <c r="O895">
        <f>ROUND(calls[[#This Row],[Satisfaction Rating]],0)</f>
        <v>4</v>
      </c>
    </row>
    <row r="896" spans="2:15" x14ac:dyDescent="0.25">
      <c r="B896" t="s">
        <v>917</v>
      </c>
      <c r="C896" t="s">
        <v>20</v>
      </c>
      <c r="D896">
        <f>VLOOKUP(C896,customers[],3,0)</f>
        <v>38</v>
      </c>
      <c r="E896" t="str">
        <f>VLOOKUP(C896,customers[],2,0)</f>
        <v>Female</v>
      </c>
      <c r="F896" t="str">
        <f>VLOOKUP(C896,customers[],4,0)</f>
        <v>Columbus</v>
      </c>
      <c r="G896">
        <v>103</v>
      </c>
      <c r="H896" s="17" t="s">
        <v>12</v>
      </c>
      <c r="I896" s="18">
        <v>45232</v>
      </c>
      <c r="J896">
        <v>66</v>
      </c>
      <c r="K896">
        <v>4.4000000000000004</v>
      </c>
      <c r="L896">
        <f>IF(MONTH(calls[[#This Row],[Date of Call]])&lt;=6, YEAR(calls[[#This Row],[Date of Call]]), YEAR(calls[[#This Row],[Date of Call]])+1)</f>
        <v>2024</v>
      </c>
      <c r="M896" t="str">
        <f>TEXT(calls[[#This Row],[Date of Call]],"DDDD")</f>
        <v>الخميس</v>
      </c>
      <c r="N896" t="str" cm="1">
        <f t="array" ref="N896">_xlfn.IFS(calls[[#This Row],[Duration]]&lt;=10,"Under 10 mins", calls[[#This Row],[Duration]]&lt;=30, "10 to 30 mins", calls[[#This Row],[Duration]]&lt;=60, "30 to 60 mins", calls[[#This Row],[Duration]]&lt;=120, "1 to 2 hours", TRUE, "More than 2 hours")</f>
        <v>1 to 2 hours</v>
      </c>
      <c r="O896">
        <f>ROUND(calls[[#This Row],[Satisfaction Rating]],0)</f>
        <v>4</v>
      </c>
    </row>
    <row r="897" spans="2:15" x14ac:dyDescent="0.25">
      <c r="B897" t="s">
        <v>918</v>
      </c>
      <c r="C897" t="s">
        <v>16</v>
      </c>
      <c r="D897">
        <f>VLOOKUP(C897,customers[],3,0)</f>
        <v>41</v>
      </c>
      <c r="E897" t="str">
        <f>VLOOKUP(C897,customers[],2,0)</f>
        <v>Male</v>
      </c>
      <c r="F897" t="str">
        <f>VLOOKUP(C897,customers[],4,0)</f>
        <v>Columbus</v>
      </c>
      <c r="G897">
        <v>56</v>
      </c>
      <c r="H897" s="17" t="s">
        <v>5</v>
      </c>
      <c r="I897" s="18">
        <v>45233</v>
      </c>
      <c r="J897">
        <v>160</v>
      </c>
      <c r="K897">
        <v>3.8</v>
      </c>
      <c r="L897">
        <f>IF(MONTH(calls[[#This Row],[Date of Call]])&lt;=6, YEAR(calls[[#This Row],[Date of Call]]), YEAR(calls[[#This Row],[Date of Call]])+1)</f>
        <v>2024</v>
      </c>
      <c r="M897" t="str">
        <f>TEXT(calls[[#This Row],[Date of Call]],"DDDD")</f>
        <v>الجمعة</v>
      </c>
      <c r="N897" t="str" cm="1">
        <f t="array" ref="N897">_xlfn.IFS(calls[[#This Row],[Duration]]&lt;=10,"Under 10 mins", calls[[#This Row],[Duration]]&lt;=30, "10 to 30 mins", calls[[#This Row],[Duration]]&lt;=60, "30 to 60 mins", calls[[#This Row],[Duration]]&lt;=120, "1 to 2 hours", TRUE, "More than 2 hours")</f>
        <v>30 to 60 mins</v>
      </c>
      <c r="O897">
        <f>ROUND(calls[[#This Row],[Satisfaction Rating]],0)</f>
        <v>4</v>
      </c>
    </row>
    <row r="898" spans="2:15" x14ac:dyDescent="0.25">
      <c r="B898" t="s">
        <v>919</v>
      </c>
      <c r="C898" t="s">
        <v>15</v>
      </c>
      <c r="D898">
        <f>VLOOKUP(C898,customers[],3,0)</f>
        <v>28</v>
      </c>
      <c r="E898" t="str">
        <f>VLOOKUP(C898,customers[],2,0)</f>
        <v>Female</v>
      </c>
      <c r="F898" t="str">
        <f>VLOOKUP(C898,customers[],4,0)</f>
        <v>Cincinnati</v>
      </c>
      <c r="G898">
        <v>114</v>
      </c>
      <c r="H898" s="17" t="s">
        <v>9</v>
      </c>
      <c r="I898" s="18">
        <v>45234</v>
      </c>
      <c r="J898">
        <v>144</v>
      </c>
      <c r="K898">
        <v>3.8</v>
      </c>
      <c r="L898">
        <f>IF(MONTH(calls[[#This Row],[Date of Call]])&lt;=6, YEAR(calls[[#This Row],[Date of Call]]), YEAR(calls[[#This Row],[Date of Call]])+1)</f>
        <v>2024</v>
      </c>
      <c r="M898" t="str">
        <f>TEXT(calls[[#This Row],[Date of Call]],"DDDD")</f>
        <v>السبت</v>
      </c>
      <c r="N898" t="str" cm="1">
        <f t="array" ref="N898">_xlfn.IFS(calls[[#This Row],[Duration]]&lt;=10,"Under 10 mins", calls[[#This Row],[Duration]]&lt;=30, "10 to 30 mins", calls[[#This Row],[Duration]]&lt;=60, "30 to 60 mins", calls[[#This Row],[Duration]]&lt;=120, "1 to 2 hours", TRUE, "More than 2 hours")</f>
        <v>1 to 2 hours</v>
      </c>
      <c r="O898">
        <f>ROUND(calls[[#This Row],[Satisfaction Rating]],0)</f>
        <v>4</v>
      </c>
    </row>
    <row r="899" spans="2:15" x14ac:dyDescent="0.25">
      <c r="B899" t="s">
        <v>920</v>
      </c>
      <c r="C899" t="s">
        <v>16</v>
      </c>
      <c r="D899">
        <f>VLOOKUP(C899,customers[],3,0)</f>
        <v>41</v>
      </c>
      <c r="E899" t="str">
        <f>VLOOKUP(C899,customers[],2,0)</f>
        <v>Male</v>
      </c>
      <c r="F899" t="str">
        <f>VLOOKUP(C899,customers[],4,0)</f>
        <v>Columbus</v>
      </c>
      <c r="G899">
        <v>112</v>
      </c>
      <c r="H899" s="17" t="s">
        <v>10</v>
      </c>
      <c r="I899" s="18">
        <v>45234</v>
      </c>
      <c r="J899">
        <v>200</v>
      </c>
      <c r="K899">
        <v>4.5999999999999996</v>
      </c>
      <c r="L899">
        <f>IF(MONTH(calls[[#This Row],[Date of Call]])&lt;=6, YEAR(calls[[#This Row],[Date of Call]]), YEAR(calls[[#This Row],[Date of Call]])+1)</f>
        <v>2024</v>
      </c>
      <c r="M899" t="str">
        <f>TEXT(calls[[#This Row],[Date of Call]],"DDDD")</f>
        <v>السبت</v>
      </c>
      <c r="N899" t="str" cm="1">
        <f t="array" ref="N899">_xlfn.IFS(calls[[#This Row],[Duration]]&lt;=10,"Under 10 mins", calls[[#This Row],[Duration]]&lt;=30, "10 to 30 mins", calls[[#This Row],[Duration]]&lt;=60, "30 to 60 mins", calls[[#This Row],[Duration]]&lt;=120, "1 to 2 hours", TRUE, "More than 2 hours")</f>
        <v>1 to 2 hours</v>
      </c>
      <c r="O899">
        <f>ROUND(calls[[#This Row],[Satisfaction Rating]],0)</f>
        <v>5</v>
      </c>
    </row>
    <row r="900" spans="2:15" x14ac:dyDescent="0.25">
      <c r="B900" t="s">
        <v>921</v>
      </c>
      <c r="C900" t="s">
        <v>14</v>
      </c>
      <c r="D900">
        <f>VLOOKUP(C900,customers[],3,0)</f>
        <v>22</v>
      </c>
      <c r="E900" t="str">
        <f>VLOOKUP(C900,customers[],2,0)</f>
        <v>Female</v>
      </c>
      <c r="F900" t="str">
        <f>VLOOKUP(C900,customers[],4,0)</f>
        <v>Cleveland</v>
      </c>
      <c r="G900">
        <v>52</v>
      </c>
      <c r="H900" s="17" t="s">
        <v>8</v>
      </c>
      <c r="I900" s="18">
        <v>45236</v>
      </c>
      <c r="J900">
        <v>220</v>
      </c>
      <c r="K900">
        <v>5</v>
      </c>
      <c r="L900">
        <f>IF(MONTH(calls[[#This Row],[Date of Call]])&lt;=6, YEAR(calls[[#This Row],[Date of Call]]), YEAR(calls[[#This Row],[Date of Call]])+1)</f>
        <v>2024</v>
      </c>
      <c r="M900" t="str">
        <f>TEXT(calls[[#This Row],[Date of Call]],"DDDD")</f>
        <v>الإثنين</v>
      </c>
      <c r="N900" t="str" cm="1">
        <f t="array" ref="N900">_xlfn.IFS(calls[[#This Row],[Duration]]&lt;=10,"Under 10 mins", calls[[#This Row],[Duration]]&lt;=30, "10 to 30 mins", calls[[#This Row],[Duration]]&lt;=60, "30 to 60 mins", calls[[#This Row],[Duration]]&lt;=120, "1 to 2 hours", TRUE, "More than 2 hours")</f>
        <v>30 to 60 mins</v>
      </c>
      <c r="O900">
        <f>ROUND(calls[[#This Row],[Satisfaction Rating]],0)</f>
        <v>5</v>
      </c>
    </row>
    <row r="901" spans="2:15" x14ac:dyDescent="0.25">
      <c r="B901" t="s">
        <v>922</v>
      </c>
      <c r="C901" t="s">
        <v>20</v>
      </c>
      <c r="D901">
        <f>VLOOKUP(C901,customers[],3,0)</f>
        <v>38</v>
      </c>
      <c r="E901" t="str">
        <f>VLOOKUP(C901,customers[],2,0)</f>
        <v>Female</v>
      </c>
      <c r="F901" t="str">
        <f>VLOOKUP(C901,customers[],4,0)</f>
        <v>Columbus</v>
      </c>
      <c r="G901">
        <v>105</v>
      </c>
      <c r="H901" s="17" t="s">
        <v>12</v>
      </c>
      <c r="I901" s="18">
        <v>45237</v>
      </c>
      <c r="J901">
        <v>112</v>
      </c>
      <c r="K901">
        <v>3.2</v>
      </c>
      <c r="L901">
        <f>IF(MONTH(calls[[#This Row],[Date of Call]])&lt;=6, YEAR(calls[[#This Row],[Date of Call]]), YEAR(calls[[#This Row],[Date of Call]])+1)</f>
        <v>2024</v>
      </c>
      <c r="M901" t="str">
        <f>TEXT(calls[[#This Row],[Date of Call]],"DDDD")</f>
        <v>الثلاثاء</v>
      </c>
      <c r="N901" t="str" cm="1">
        <f t="array" ref="N901">_xlfn.IFS(calls[[#This Row],[Duration]]&lt;=10,"Under 10 mins", calls[[#This Row],[Duration]]&lt;=30, "10 to 30 mins", calls[[#This Row],[Duration]]&lt;=60, "30 to 60 mins", calls[[#This Row],[Duration]]&lt;=120, "1 to 2 hours", TRUE, "More than 2 hours")</f>
        <v>1 to 2 hours</v>
      </c>
      <c r="O901">
        <f>ROUND(calls[[#This Row],[Satisfaction Rating]],0)</f>
        <v>3</v>
      </c>
    </row>
    <row r="902" spans="2:15" x14ac:dyDescent="0.25">
      <c r="B902" t="s">
        <v>923</v>
      </c>
      <c r="C902" t="s">
        <v>22</v>
      </c>
      <c r="D902">
        <f>VLOOKUP(C902,customers[],3,0)</f>
        <v>37</v>
      </c>
      <c r="E902" t="str">
        <f>VLOOKUP(C902,customers[],2,0)</f>
        <v>Male</v>
      </c>
      <c r="F902" t="str">
        <f>VLOOKUP(C902,customers[],4,0)</f>
        <v>Columbus</v>
      </c>
      <c r="G902">
        <v>91</v>
      </c>
      <c r="H902" s="17" t="s">
        <v>5</v>
      </c>
      <c r="I902" s="18">
        <v>45237</v>
      </c>
      <c r="J902">
        <v>110</v>
      </c>
      <c r="K902">
        <v>3.7</v>
      </c>
      <c r="L902">
        <f>IF(MONTH(calls[[#This Row],[Date of Call]])&lt;=6, YEAR(calls[[#This Row],[Date of Call]]), YEAR(calls[[#This Row],[Date of Call]])+1)</f>
        <v>2024</v>
      </c>
      <c r="M902" t="str">
        <f>TEXT(calls[[#This Row],[Date of Call]],"DDDD")</f>
        <v>الثلاثاء</v>
      </c>
      <c r="N902" t="str" cm="1">
        <f t="array" ref="N902">_xlfn.IFS(calls[[#This Row],[Duration]]&lt;=10,"Under 10 mins", calls[[#This Row],[Duration]]&lt;=30, "10 to 30 mins", calls[[#This Row],[Duration]]&lt;=60, "30 to 60 mins", calls[[#This Row],[Duration]]&lt;=120, "1 to 2 hours", TRUE, "More than 2 hours")</f>
        <v>1 to 2 hours</v>
      </c>
      <c r="O902">
        <f>ROUND(calls[[#This Row],[Satisfaction Rating]],0)</f>
        <v>4</v>
      </c>
    </row>
    <row r="903" spans="2:15" x14ac:dyDescent="0.25">
      <c r="B903" t="s">
        <v>924</v>
      </c>
      <c r="C903" t="s">
        <v>18</v>
      </c>
      <c r="D903">
        <f>VLOOKUP(C903,customers[],3,0)</f>
        <v>43</v>
      </c>
      <c r="E903" t="str">
        <f>VLOOKUP(C903,customers[],2,0)</f>
        <v>Female</v>
      </c>
      <c r="F903" t="str">
        <f>VLOOKUP(C903,customers[],4,0)</f>
        <v>Cleveland</v>
      </c>
      <c r="G903">
        <v>74</v>
      </c>
      <c r="H903" s="17" t="s">
        <v>9</v>
      </c>
      <c r="I903" s="18">
        <v>45238</v>
      </c>
      <c r="J903">
        <v>160</v>
      </c>
      <c r="K903">
        <v>2.7</v>
      </c>
      <c r="L903">
        <f>IF(MONTH(calls[[#This Row],[Date of Call]])&lt;=6, YEAR(calls[[#This Row],[Date of Call]]), YEAR(calls[[#This Row],[Date of Call]])+1)</f>
        <v>2024</v>
      </c>
      <c r="M903" t="str">
        <f>TEXT(calls[[#This Row],[Date of Call]],"DDDD")</f>
        <v>الأربعاء</v>
      </c>
      <c r="N903" t="str" cm="1">
        <f t="array" ref="N903">_xlfn.IFS(calls[[#This Row],[Duration]]&lt;=10,"Under 10 mins", calls[[#This Row],[Duration]]&lt;=30, "10 to 30 mins", calls[[#This Row],[Duration]]&lt;=60, "30 to 60 mins", calls[[#This Row],[Duration]]&lt;=120, "1 to 2 hours", TRUE, "More than 2 hours")</f>
        <v>1 to 2 hours</v>
      </c>
      <c r="O903">
        <f>ROUND(calls[[#This Row],[Satisfaction Rating]],0)</f>
        <v>3</v>
      </c>
    </row>
    <row r="904" spans="2:15" x14ac:dyDescent="0.25">
      <c r="B904" t="s">
        <v>925</v>
      </c>
      <c r="C904" t="s">
        <v>18</v>
      </c>
      <c r="D904">
        <f>VLOOKUP(C904,customers[],3,0)</f>
        <v>43</v>
      </c>
      <c r="E904" t="str">
        <f>VLOOKUP(C904,customers[],2,0)</f>
        <v>Female</v>
      </c>
      <c r="F904" t="str">
        <f>VLOOKUP(C904,customers[],4,0)</f>
        <v>Cleveland</v>
      </c>
      <c r="G904">
        <v>30</v>
      </c>
      <c r="H904" s="17" t="s">
        <v>5</v>
      </c>
      <c r="I904" s="18">
        <v>45238</v>
      </c>
      <c r="J904">
        <v>84</v>
      </c>
      <c r="K904">
        <v>4</v>
      </c>
      <c r="L904">
        <f>IF(MONTH(calls[[#This Row],[Date of Call]])&lt;=6, YEAR(calls[[#This Row],[Date of Call]]), YEAR(calls[[#This Row],[Date of Call]])+1)</f>
        <v>2024</v>
      </c>
      <c r="M904" t="str">
        <f>TEXT(calls[[#This Row],[Date of Call]],"DDDD")</f>
        <v>الأربعاء</v>
      </c>
      <c r="N904" t="str" cm="1">
        <f t="array" ref="N904">_xlfn.IFS(calls[[#This Row],[Duration]]&lt;=10,"Under 10 mins", calls[[#This Row],[Duration]]&lt;=30, "10 to 30 mins", calls[[#This Row],[Duration]]&lt;=60, "30 to 60 mins", calls[[#This Row],[Duration]]&lt;=120, "1 to 2 hours", TRUE, "More than 2 hours")</f>
        <v>10 to 30 mins</v>
      </c>
      <c r="O904">
        <f>ROUND(calls[[#This Row],[Satisfaction Rating]],0)</f>
        <v>4</v>
      </c>
    </row>
    <row r="905" spans="2:15" x14ac:dyDescent="0.25">
      <c r="B905" t="s">
        <v>926</v>
      </c>
      <c r="C905" t="s">
        <v>22</v>
      </c>
      <c r="D905">
        <f>VLOOKUP(C905,customers[],3,0)</f>
        <v>37</v>
      </c>
      <c r="E905" t="str">
        <f>VLOOKUP(C905,customers[],2,0)</f>
        <v>Male</v>
      </c>
      <c r="F905" t="str">
        <f>VLOOKUP(C905,customers[],4,0)</f>
        <v>Columbus</v>
      </c>
      <c r="G905">
        <v>56</v>
      </c>
      <c r="H905" s="17" t="s">
        <v>8</v>
      </c>
      <c r="I905" s="18">
        <v>45238</v>
      </c>
      <c r="J905">
        <v>124</v>
      </c>
      <c r="K905">
        <v>2.6</v>
      </c>
      <c r="L905">
        <f>IF(MONTH(calls[[#This Row],[Date of Call]])&lt;=6, YEAR(calls[[#This Row],[Date of Call]]), YEAR(calls[[#This Row],[Date of Call]])+1)</f>
        <v>2024</v>
      </c>
      <c r="M905" t="str">
        <f>TEXT(calls[[#This Row],[Date of Call]],"DDDD")</f>
        <v>الأربعاء</v>
      </c>
      <c r="N905" t="str" cm="1">
        <f t="array" ref="N905">_xlfn.IFS(calls[[#This Row],[Duration]]&lt;=10,"Under 10 mins", calls[[#This Row],[Duration]]&lt;=30, "10 to 30 mins", calls[[#This Row],[Duration]]&lt;=60, "30 to 60 mins", calls[[#This Row],[Duration]]&lt;=120, "1 to 2 hours", TRUE, "More than 2 hours")</f>
        <v>30 to 60 mins</v>
      </c>
      <c r="O905">
        <f>ROUND(calls[[#This Row],[Satisfaction Rating]],0)</f>
        <v>3</v>
      </c>
    </row>
    <row r="906" spans="2:15" x14ac:dyDescent="0.25">
      <c r="B906" t="s">
        <v>927</v>
      </c>
      <c r="C906" t="s">
        <v>18</v>
      </c>
      <c r="D906">
        <f>VLOOKUP(C906,customers[],3,0)</f>
        <v>43</v>
      </c>
      <c r="E906" t="str">
        <f>VLOOKUP(C906,customers[],2,0)</f>
        <v>Female</v>
      </c>
      <c r="F906" t="str">
        <f>VLOOKUP(C906,customers[],4,0)</f>
        <v>Cleveland</v>
      </c>
      <c r="G906">
        <v>151</v>
      </c>
      <c r="H906" s="17" t="s">
        <v>10</v>
      </c>
      <c r="I906" s="18">
        <v>45238</v>
      </c>
      <c r="J906">
        <v>84</v>
      </c>
      <c r="K906">
        <v>4.5999999999999996</v>
      </c>
      <c r="L906">
        <f>IF(MONTH(calls[[#This Row],[Date of Call]])&lt;=6, YEAR(calls[[#This Row],[Date of Call]]), YEAR(calls[[#This Row],[Date of Call]])+1)</f>
        <v>2024</v>
      </c>
      <c r="M906" t="str">
        <f>TEXT(calls[[#This Row],[Date of Call]],"DDDD")</f>
        <v>الأربعاء</v>
      </c>
      <c r="N906" t="str" cm="1">
        <f t="array" ref="N906">_xlfn.IFS(calls[[#This Row],[Duration]]&lt;=10,"Under 10 mins", calls[[#This Row],[Duration]]&lt;=30, "10 to 30 mins", calls[[#This Row],[Duration]]&lt;=60, "30 to 60 mins", calls[[#This Row],[Duration]]&lt;=120, "1 to 2 hours", TRUE, "More than 2 hours")</f>
        <v>More than 2 hours</v>
      </c>
      <c r="O906">
        <f>ROUND(calls[[#This Row],[Satisfaction Rating]],0)</f>
        <v>5</v>
      </c>
    </row>
    <row r="907" spans="2:15" x14ac:dyDescent="0.25">
      <c r="B907" t="s">
        <v>928</v>
      </c>
      <c r="C907" t="s">
        <v>11</v>
      </c>
      <c r="D907">
        <f>VLOOKUP(C907,customers[],3,0)</f>
        <v>36</v>
      </c>
      <c r="E907" t="str">
        <f>VLOOKUP(C907,customers[],2,0)</f>
        <v>Male</v>
      </c>
      <c r="F907" t="str">
        <f>VLOOKUP(C907,customers[],4,0)</f>
        <v>Cincinnati</v>
      </c>
      <c r="G907">
        <v>108</v>
      </c>
      <c r="H907" s="17" t="s">
        <v>12</v>
      </c>
      <c r="I907" s="18">
        <v>45239</v>
      </c>
      <c r="J907">
        <v>130</v>
      </c>
      <c r="K907">
        <v>2.7</v>
      </c>
      <c r="L907">
        <f>IF(MONTH(calls[[#This Row],[Date of Call]])&lt;=6, YEAR(calls[[#This Row],[Date of Call]]), YEAR(calls[[#This Row],[Date of Call]])+1)</f>
        <v>2024</v>
      </c>
      <c r="M907" t="str">
        <f>TEXT(calls[[#This Row],[Date of Call]],"DDDD")</f>
        <v>الخميس</v>
      </c>
      <c r="N907" t="str" cm="1">
        <f t="array" ref="N907">_xlfn.IFS(calls[[#This Row],[Duration]]&lt;=10,"Under 10 mins", calls[[#This Row],[Duration]]&lt;=30, "10 to 30 mins", calls[[#This Row],[Duration]]&lt;=60, "30 to 60 mins", calls[[#This Row],[Duration]]&lt;=120, "1 to 2 hours", TRUE, "More than 2 hours")</f>
        <v>1 to 2 hours</v>
      </c>
      <c r="O907">
        <f>ROUND(calls[[#This Row],[Satisfaction Rating]],0)</f>
        <v>3</v>
      </c>
    </row>
    <row r="908" spans="2:15" x14ac:dyDescent="0.25">
      <c r="B908" t="s">
        <v>929</v>
      </c>
      <c r="C908" t="s">
        <v>15</v>
      </c>
      <c r="D908">
        <f>VLOOKUP(C908,customers[],3,0)</f>
        <v>28</v>
      </c>
      <c r="E908" t="str">
        <f>VLOOKUP(C908,customers[],2,0)</f>
        <v>Female</v>
      </c>
      <c r="F908" t="str">
        <f>VLOOKUP(C908,customers[],4,0)</f>
        <v>Cincinnati</v>
      </c>
      <c r="G908">
        <v>124</v>
      </c>
      <c r="H908" s="17" t="s">
        <v>9</v>
      </c>
      <c r="I908" s="18">
        <v>45239</v>
      </c>
      <c r="J908">
        <v>215</v>
      </c>
      <c r="K908">
        <v>3.5</v>
      </c>
      <c r="L908">
        <f>IF(MONTH(calls[[#This Row],[Date of Call]])&lt;=6, YEAR(calls[[#This Row],[Date of Call]]), YEAR(calls[[#This Row],[Date of Call]])+1)</f>
        <v>2024</v>
      </c>
      <c r="M908" t="str">
        <f>TEXT(calls[[#This Row],[Date of Call]],"DDDD")</f>
        <v>الخميس</v>
      </c>
      <c r="N908" t="str" cm="1">
        <f t="array" ref="N908">_xlfn.IFS(calls[[#This Row],[Duration]]&lt;=10,"Under 10 mins", calls[[#This Row],[Duration]]&lt;=30, "10 to 30 mins", calls[[#This Row],[Duration]]&lt;=60, "30 to 60 mins", calls[[#This Row],[Duration]]&lt;=120, "1 to 2 hours", TRUE, "More than 2 hours")</f>
        <v>More than 2 hours</v>
      </c>
      <c r="O908">
        <f>ROUND(calls[[#This Row],[Satisfaction Rating]],0)</f>
        <v>4</v>
      </c>
    </row>
    <row r="909" spans="2:15" x14ac:dyDescent="0.25">
      <c r="B909" t="s">
        <v>930</v>
      </c>
      <c r="C909" t="s">
        <v>20</v>
      </c>
      <c r="D909">
        <f>VLOOKUP(C909,customers[],3,0)</f>
        <v>38</v>
      </c>
      <c r="E909" t="str">
        <f>VLOOKUP(C909,customers[],2,0)</f>
        <v>Female</v>
      </c>
      <c r="F909" t="str">
        <f>VLOOKUP(C909,customers[],4,0)</f>
        <v>Columbus</v>
      </c>
      <c r="G909">
        <v>110</v>
      </c>
      <c r="H909" s="17" t="s">
        <v>8</v>
      </c>
      <c r="I909" s="18">
        <v>45240</v>
      </c>
      <c r="J909">
        <v>132</v>
      </c>
      <c r="K909">
        <v>3.6</v>
      </c>
      <c r="L909">
        <f>IF(MONTH(calls[[#This Row],[Date of Call]])&lt;=6, YEAR(calls[[#This Row],[Date of Call]]), YEAR(calls[[#This Row],[Date of Call]])+1)</f>
        <v>2024</v>
      </c>
      <c r="M909" t="str">
        <f>TEXT(calls[[#This Row],[Date of Call]],"DDDD")</f>
        <v>الجمعة</v>
      </c>
      <c r="N909" t="str" cm="1">
        <f t="array" ref="N909">_xlfn.IFS(calls[[#This Row],[Duration]]&lt;=10,"Under 10 mins", calls[[#This Row],[Duration]]&lt;=30, "10 to 30 mins", calls[[#This Row],[Duration]]&lt;=60, "30 to 60 mins", calls[[#This Row],[Duration]]&lt;=120, "1 to 2 hours", TRUE, "More than 2 hours")</f>
        <v>1 to 2 hours</v>
      </c>
      <c r="O909">
        <f>ROUND(calls[[#This Row],[Satisfaction Rating]],0)</f>
        <v>4</v>
      </c>
    </row>
    <row r="910" spans="2:15" x14ac:dyDescent="0.25">
      <c r="B910" t="s">
        <v>931</v>
      </c>
      <c r="C910" t="s">
        <v>17</v>
      </c>
      <c r="D910">
        <f>VLOOKUP(C910,customers[],3,0)</f>
        <v>30</v>
      </c>
      <c r="E910" t="str">
        <f>VLOOKUP(C910,customers[],2,0)</f>
        <v>Female</v>
      </c>
      <c r="F910" t="str">
        <f>VLOOKUP(C910,customers[],4,0)</f>
        <v>Cleveland</v>
      </c>
      <c r="G910">
        <v>89</v>
      </c>
      <c r="H910" s="17" t="s">
        <v>12</v>
      </c>
      <c r="I910" s="18">
        <v>45240</v>
      </c>
      <c r="J910">
        <v>88</v>
      </c>
      <c r="K910">
        <v>4.9000000000000004</v>
      </c>
      <c r="L910">
        <f>IF(MONTH(calls[[#This Row],[Date of Call]])&lt;=6, YEAR(calls[[#This Row],[Date of Call]]), YEAR(calls[[#This Row],[Date of Call]])+1)</f>
        <v>2024</v>
      </c>
      <c r="M910" t="str">
        <f>TEXT(calls[[#This Row],[Date of Call]],"DDDD")</f>
        <v>الجمعة</v>
      </c>
      <c r="N910" t="str" cm="1">
        <f t="array" ref="N910">_xlfn.IFS(calls[[#This Row],[Duration]]&lt;=10,"Under 10 mins", calls[[#This Row],[Duration]]&lt;=30, "10 to 30 mins", calls[[#This Row],[Duration]]&lt;=60, "30 to 60 mins", calls[[#This Row],[Duration]]&lt;=120, "1 to 2 hours", TRUE, "More than 2 hours")</f>
        <v>1 to 2 hours</v>
      </c>
      <c r="O910">
        <f>ROUND(calls[[#This Row],[Satisfaction Rating]],0)</f>
        <v>5</v>
      </c>
    </row>
    <row r="911" spans="2:15" x14ac:dyDescent="0.25">
      <c r="B911" t="s">
        <v>932</v>
      </c>
      <c r="C911" t="s">
        <v>19</v>
      </c>
      <c r="D911">
        <f>VLOOKUP(C911,customers[],3,0)</f>
        <v>26</v>
      </c>
      <c r="E911" t="str">
        <f>VLOOKUP(C911,customers[],2,0)</f>
        <v>Male</v>
      </c>
      <c r="F911" t="str">
        <f>VLOOKUP(C911,customers[],4,0)</f>
        <v>Cincinnati</v>
      </c>
      <c r="G911">
        <v>95</v>
      </c>
      <c r="H911" s="17" t="s">
        <v>8</v>
      </c>
      <c r="I911" s="18">
        <v>45240</v>
      </c>
      <c r="J911">
        <v>140</v>
      </c>
      <c r="K911">
        <v>3.9</v>
      </c>
      <c r="L911">
        <f>IF(MONTH(calls[[#This Row],[Date of Call]])&lt;=6, YEAR(calls[[#This Row],[Date of Call]]), YEAR(calls[[#This Row],[Date of Call]])+1)</f>
        <v>2024</v>
      </c>
      <c r="M911" t="str">
        <f>TEXT(calls[[#This Row],[Date of Call]],"DDDD")</f>
        <v>الجمعة</v>
      </c>
      <c r="N911" t="str" cm="1">
        <f t="array" ref="N911">_xlfn.IFS(calls[[#This Row],[Duration]]&lt;=10,"Under 10 mins", calls[[#This Row],[Duration]]&lt;=30, "10 to 30 mins", calls[[#This Row],[Duration]]&lt;=60, "30 to 60 mins", calls[[#This Row],[Duration]]&lt;=120, "1 to 2 hours", TRUE, "More than 2 hours")</f>
        <v>1 to 2 hours</v>
      </c>
      <c r="O911">
        <f>ROUND(calls[[#This Row],[Satisfaction Rating]],0)</f>
        <v>4</v>
      </c>
    </row>
    <row r="912" spans="2:15" x14ac:dyDescent="0.25">
      <c r="B912" t="s">
        <v>933</v>
      </c>
      <c r="C912" t="s">
        <v>18</v>
      </c>
      <c r="D912">
        <f>VLOOKUP(C912,customers[],3,0)</f>
        <v>43</v>
      </c>
      <c r="E912" t="str">
        <f>VLOOKUP(C912,customers[],2,0)</f>
        <v>Female</v>
      </c>
      <c r="F912" t="str">
        <f>VLOOKUP(C912,customers[],4,0)</f>
        <v>Cleveland</v>
      </c>
      <c r="G912">
        <v>84</v>
      </c>
      <c r="H912" s="17" t="s">
        <v>12</v>
      </c>
      <c r="I912" s="18">
        <v>45241</v>
      </c>
      <c r="J912">
        <v>66</v>
      </c>
      <c r="K912">
        <v>4.7</v>
      </c>
      <c r="L912">
        <f>IF(MONTH(calls[[#This Row],[Date of Call]])&lt;=6, YEAR(calls[[#This Row],[Date of Call]]), YEAR(calls[[#This Row],[Date of Call]])+1)</f>
        <v>2024</v>
      </c>
      <c r="M912" t="str">
        <f>TEXT(calls[[#This Row],[Date of Call]],"DDDD")</f>
        <v>السبت</v>
      </c>
      <c r="N912" t="str" cm="1">
        <f t="array" ref="N912">_xlfn.IFS(calls[[#This Row],[Duration]]&lt;=10,"Under 10 mins", calls[[#This Row],[Duration]]&lt;=30, "10 to 30 mins", calls[[#This Row],[Duration]]&lt;=60, "30 to 60 mins", calls[[#This Row],[Duration]]&lt;=120, "1 to 2 hours", TRUE, "More than 2 hours")</f>
        <v>1 to 2 hours</v>
      </c>
      <c r="O912">
        <f>ROUND(calls[[#This Row],[Satisfaction Rating]],0)</f>
        <v>5</v>
      </c>
    </row>
    <row r="913" spans="2:15" x14ac:dyDescent="0.25">
      <c r="B913" t="s">
        <v>934</v>
      </c>
      <c r="C913" t="s">
        <v>23</v>
      </c>
      <c r="D913">
        <f>VLOOKUP(C913,customers[],3,0)</f>
        <v>31</v>
      </c>
      <c r="E913" t="str">
        <f>VLOOKUP(C913,customers[],2,0)</f>
        <v>Male</v>
      </c>
      <c r="F913" t="str">
        <f>VLOOKUP(C913,customers[],4,0)</f>
        <v>Cleveland</v>
      </c>
      <c r="G913">
        <v>89</v>
      </c>
      <c r="H913" s="17" t="s">
        <v>9</v>
      </c>
      <c r="I913" s="18">
        <v>45241</v>
      </c>
      <c r="J913">
        <v>23</v>
      </c>
      <c r="K913">
        <v>4.5</v>
      </c>
      <c r="L913">
        <f>IF(MONTH(calls[[#This Row],[Date of Call]])&lt;=6, YEAR(calls[[#This Row],[Date of Call]]), YEAR(calls[[#This Row],[Date of Call]])+1)</f>
        <v>2024</v>
      </c>
      <c r="M913" t="str">
        <f>TEXT(calls[[#This Row],[Date of Call]],"DDDD")</f>
        <v>السبت</v>
      </c>
      <c r="N913" t="str" cm="1">
        <f t="array" ref="N913">_xlfn.IFS(calls[[#This Row],[Duration]]&lt;=10,"Under 10 mins", calls[[#This Row],[Duration]]&lt;=30, "10 to 30 mins", calls[[#This Row],[Duration]]&lt;=60, "30 to 60 mins", calls[[#This Row],[Duration]]&lt;=120, "1 to 2 hours", TRUE, "More than 2 hours")</f>
        <v>1 to 2 hours</v>
      </c>
      <c r="O913">
        <f>ROUND(calls[[#This Row],[Satisfaction Rating]],0)</f>
        <v>5</v>
      </c>
    </row>
    <row r="914" spans="2:15" x14ac:dyDescent="0.25">
      <c r="B914" t="s">
        <v>935</v>
      </c>
      <c r="C914" t="s">
        <v>17</v>
      </c>
      <c r="D914">
        <f>VLOOKUP(C914,customers[],3,0)</f>
        <v>30</v>
      </c>
      <c r="E914" t="str">
        <f>VLOOKUP(C914,customers[],2,0)</f>
        <v>Female</v>
      </c>
      <c r="F914" t="str">
        <f>VLOOKUP(C914,customers[],4,0)</f>
        <v>Cleveland</v>
      </c>
      <c r="G914">
        <v>146</v>
      </c>
      <c r="H914" s="17" t="s">
        <v>9</v>
      </c>
      <c r="I914" s="18">
        <v>45242</v>
      </c>
      <c r="J914">
        <v>220</v>
      </c>
      <c r="K914">
        <v>4.5</v>
      </c>
      <c r="L914">
        <f>IF(MONTH(calls[[#This Row],[Date of Call]])&lt;=6, YEAR(calls[[#This Row],[Date of Call]]), YEAR(calls[[#This Row],[Date of Call]])+1)</f>
        <v>2024</v>
      </c>
      <c r="M914" t="str">
        <f>TEXT(calls[[#This Row],[Date of Call]],"DDDD")</f>
        <v>الأحد</v>
      </c>
      <c r="N914" t="str" cm="1">
        <f t="array" ref="N914">_xlfn.IFS(calls[[#This Row],[Duration]]&lt;=10,"Under 10 mins", calls[[#This Row],[Duration]]&lt;=30, "10 to 30 mins", calls[[#This Row],[Duration]]&lt;=60, "30 to 60 mins", calls[[#This Row],[Duration]]&lt;=120, "1 to 2 hours", TRUE, "More than 2 hours")</f>
        <v>More than 2 hours</v>
      </c>
      <c r="O914">
        <f>ROUND(calls[[#This Row],[Satisfaction Rating]],0)</f>
        <v>5</v>
      </c>
    </row>
    <row r="915" spans="2:15" x14ac:dyDescent="0.25">
      <c r="B915" t="s">
        <v>936</v>
      </c>
      <c r="C915" t="s">
        <v>13</v>
      </c>
      <c r="D915">
        <f>VLOOKUP(C915,customers[],3,0)</f>
        <v>37</v>
      </c>
      <c r="E915" t="str">
        <f>VLOOKUP(C915,customers[],2,0)</f>
        <v>Female</v>
      </c>
      <c r="F915" t="str">
        <f>VLOOKUP(C915,customers[],4,0)</f>
        <v>Cleveland</v>
      </c>
      <c r="G915">
        <v>62</v>
      </c>
      <c r="H915" s="17" t="s">
        <v>5</v>
      </c>
      <c r="I915" s="18">
        <v>45243</v>
      </c>
      <c r="J915">
        <v>175</v>
      </c>
      <c r="K915">
        <v>4.4000000000000004</v>
      </c>
      <c r="L915">
        <f>IF(MONTH(calls[[#This Row],[Date of Call]])&lt;=6, YEAR(calls[[#This Row],[Date of Call]]), YEAR(calls[[#This Row],[Date of Call]])+1)</f>
        <v>2024</v>
      </c>
      <c r="M915" t="str">
        <f>TEXT(calls[[#This Row],[Date of Call]],"DDDD")</f>
        <v>الإثنين</v>
      </c>
      <c r="N915" t="str" cm="1">
        <f t="array" ref="N915">_xlfn.IFS(calls[[#This Row],[Duration]]&lt;=10,"Under 10 mins", calls[[#This Row],[Duration]]&lt;=30, "10 to 30 mins", calls[[#This Row],[Duration]]&lt;=60, "30 to 60 mins", calls[[#This Row],[Duration]]&lt;=120, "1 to 2 hours", TRUE, "More than 2 hours")</f>
        <v>1 to 2 hours</v>
      </c>
      <c r="O915">
        <f>ROUND(calls[[#This Row],[Satisfaction Rating]],0)</f>
        <v>4</v>
      </c>
    </row>
    <row r="916" spans="2:15" x14ac:dyDescent="0.25">
      <c r="B916" t="s">
        <v>937</v>
      </c>
      <c r="C916" t="s">
        <v>16</v>
      </c>
      <c r="D916">
        <f>VLOOKUP(C916,customers[],3,0)</f>
        <v>41</v>
      </c>
      <c r="E916" t="str">
        <f>VLOOKUP(C916,customers[],2,0)</f>
        <v>Male</v>
      </c>
      <c r="F916" t="str">
        <f>VLOOKUP(C916,customers[],4,0)</f>
        <v>Columbus</v>
      </c>
      <c r="G916">
        <v>82</v>
      </c>
      <c r="H916" s="17" t="s">
        <v>9</v>
      </c>
      <c r="I916" s="18">
        <v>45243</v>
      </c>
      <c r="J916">
        <v>172</v>
      </c>
      <c r="K916">
        <v>4.0999999999999996</v>
      </c>
      <c r="L916">
        <f>IF(MONTH(calls[[#This Row],[Date of Call]])&lt;=6, YEAR(calls[[#This Row],[Date of Call]]), YEAR(calls[[#This Row],[Date of Call]])+1)</f>
        <v>2024</v>
      </c>
      <c r="M916" t="str">
        <f>TEXT(calls[[#This Row],[Date of Call]],"DDDD")</f>
        <v>الإثنين</v>
      </c>
      <c r="N916" t="str" cm="1">
        <f t="array" ref="N916">_xlfn.IFS(calls[[#This Row],[Duration]]&lt;=10,"Under 10 mins", calls[[#This Row],[Duration]]&lt;=30, "10 to 30 mins", calls[[#This Row],[Duration]]&lt;=60, "30 to 60 mins", calls[[#This Row],[Duration]]&lt;=120, "1 to 2 hours", TRUE, "More than 2 hours")</f>
        <v>1 to 2 hours</v>
      </c>
      <c r="O916">
        <f>ROUND(calls[[#This Row],[Satisfaction Rating]],0)</f>
        <v>4</v>
      </c>
    </row>
    <row r="917" spans="2:15" x14ac:dyDescent="0.25">
      <c r="B917" t="s">
        <v>938</v>
      </c>
      <c r="C917" t="s">
        <v>21</v>
      </c>
      <c r="D917">
        <f>VLOOKUP(C917,customers[],3,0)</f>
        <v>25</v>
      </c>
      <c r="E917" t="str">
        <f>VLOOKUP(C917,customers[],2,0)</f>
        <v>Female</v>
      </c>
      <c r="F917" t="str">
        <f>VLOOKUP(C917,customers[],4,0)</f>
        <v>Columbus</v>
      </c>
      <c r="G917">
        <v>91</v>
      </c>
      <c r="H917" s="17" t="s">
        <v>10</v>
      </c>
      <c r="I917" s="18">
        <v>45243</v>
      </c>
      <c r="J917">
        <v>108</v>
      </c>
      <c r="K917">
        <v>3.8</v>
      </c>
      <c r="L917">
        <f>IF(MONTH(calls[[#This Row],[Date of Call]])&lt;=6, YEAR(calls[[#This Row],[Date of Call]]), YEAR(calls[[#This Row],[Date of Call]])+1)</f>
        <v>2024</v>
      </c>
      <c r="M917" t="str">
        <f>TEXT(calls[[#This Row],[Date of Call]],"DDDD")</f>
        <v>الإثنين</v>
      </c>
      <c r="N917" t="str" cm="1">
        <f t="array" ref="N917">_xlfn.IFS(calls[[#This Row],[Duration]]&lt;=10,"Under 10 mins", calls[[#This Row],[Duration]]&lt;=30, "10 to 30 mins", calls[[#This Row],[Duration]]&lt;=60, "30 to 60 mins", calls[[#This Row],[Duration]]&lt;=120, "1 to 2 hours", TRUE, "More than 2 hours")</f>
        <v>1 to 2 hours</v>
      </c>
      <c r="O917">
        <f>ROUND(calls[[#This Row],[Satisfaction Rating]],0)</f>
        <v>4</v>
      </c>
    </row>
    <row r="918" spans="2:15" x14ac:dyDescent="0.25">
      <c r="B918" t="s">
        <v>939</v>
      </c>
      <c r="C918" t="s">
        <v>23</v>
      </c>
      <c r="D918">
        <f>VLOOKUP(C918,customers[],3,0)</f>
        <v>31</v>
      </c>
      <c r="E918" t="str">
        <f>VLOOKUP(C918,customers[],2,0)</f>
        <v>Male</v>
      </c>
      <c r="F918" t="str">
        <f>VLOOKUP(C918,customers[],4,0)</f>
        <v>Cleveland</v>
      </c>
      <c r="G918">
        <v>39</v>
      </c>
      <c r="H918" s="17" t="s">
        <v>9</v>
      </c>
      <c r="I918" s="18">
        <v>45244</v>
      </c>
      <c r="J918">
        <v>43</v>
      </c>
      <c r="K918">
        <v>4.2</v>
      </c>
      <c r="L918">
        <f>IF(MONTH(calls[[#This Row],[Date of Call]])&lt;=6, YEAR(calls[[#This Row],[Date of Call]]), YEAR(calls[[#This Row],[Date of Call]])+1)</f>
        <v>2024</v>
      </c>
      <c r="M918" t="str">
        <f>TEXT(calls[[#This Row],[Date of Call]],"DDDD")</f>
        <v>الثلاثاء</v>
      </c>
      <c r="N918" t="str" cm="1">
        <f t="array" ref="N918">_xlfn.IFS(calls[[#This Row],[Duration]]&lt;=10,"Under 10 mins", calls[[#This Row],[Duration]]&lt;=30, "10 to 30 mins", calls[[#This Row],[Duration]]&lt;=60, "30 to 60 mins", calls[[#This Row],[Duration]]&lt;=120, "1 to 2 hours", TRUE, "More than 2 hours")</f>
        <v>30 to 60 mins</v>
      </c>
      <c r="O918">
        <f>ROUND(calls[[#This Row],[Satisfaction Rating]],0)</f>
        <v>4</v>
      </c>
    </row>
    <row r="919" spans="2:15" x14ac:dyDescent="0.25">
      <c r="B919" t="s">
        <v>940</v>
      </c>
      <c r="C919" t="s">
        <v>17</v>
      </c>
      <c r="D919">
        <f>VLOOKUP(C919,customers[],3,0)</f>
        <v>30</v>
      </c>
      <c r="E919" t="str">
        <f>VLOOKUP(C919,customers[],2,0)</f>
        <v>Female</v>
      </c>
      <c r="F919" t="str">
        <f>VLOOKUP(C919,customers[],4,0)</f>
        <v>Cleveland</v>
      </c>
      <c r="G919">
        <v>149</v>
      </c>
      <c r="H919" s="17" t="s">
        <v>8</v>
      </c>
      <c r="I919" s="18">
        <v>45244</v>
      </c>
      <c r="J919">
        <v>44</v>
      </c>
      <c r="K919">
        <v>2.2000000000000002</v>
      </c>
      <c r="L919">
        <f>IF(MONTH(calls[[#This Row],[Date of Call]])&lt;=6, YEAR(calls[[#This Row],[Date of Call]]), YEAR(calls[[#This Row],[Date of Call]])+1)</f>
        <v>2024</v>
      </c>
      <c r="M919" t="str">
        <f>TEXT(calls[[#This Row],[Date of Call]],"DDDD")</f>
        <v>الثلاثاء</v>
      </c>
      <c r="N919" t="str" cm="1">
        <f t="array" ref="N919">_xlfn.IFS(calls[[#This Row],[Duration]]&lt;=10,"Under 10 mins", calls[[#This Row],[Duration]]&lt;=30, "10 to 30 mins", calls[[#This Row],[Duration]]&lt;=60, "30 to 60 mins", calls[[#This Row],[Duration]]&lt;=120, "1 to 2 hours", TRUE, "More than 2 hours")</f>
        <v>More than 2 hours</v>
      </c>
      <c r="O919">
        <f>ROUND(calls[[#This Row],[Satisfaction Rating]],0)</f>
        <v>2</v>
      </c>
    </row>
    <row r="920" spans="2:15" x14ac:dyDescent="0.25">
      <c r="B920" t="s">
        <v>941</v>
      </c>
      <c r="C920" t="s">
        <v>16</v>
      </c>
      <c r="D920">
        <f>VLOOKUP(C920,customers[],3,0)</f>
        <v>41</v>
      </c>
      <c r="E920" t="str">
        <f>VLOOKUP(C920,customers[],2,0)</f>
        <v>Male</v>
      </c>
      <c r="F920" t="str">
        <f>VLOOKUP(C920,customers[],4,0)</f>
        <v>Columbus</v>
      </c>
      <c r="G920">
        <v>138</v>
      </c>
      <c r="H920" s="17" t="s">
        <v>5</v>
      </c>
      <c r="I920" s="18">
        <v>45244</v>
      </c>
      <c r="J920">
        <v>105</v>
      </c>
      <c r="K920">
        <v>3.9</v>
      </c>
      <c r="L920">
        <f>IF(MONTH(calls[[#This Row],[Date of Call]])&lt;=6, YEAR(calls[[#This Row],[Date of Call]]), YEAR(calls[[#This Row],[Date of Call]])+1)</f>
        <v>2024</v>
      </c>
      <c r="M920" t="str">
        <f>TEXT(calls[[#This Row],[Date of Call]],"DDDD")</f>
        <v>الثلاثاء</v>
      </c>
      <c r="N920" t="str" cm="1">
        <f t="array" ref="N920">_xlfn.IFS(calls[[#This Row],[Duration]]&lt;=10,"Under 10 mins", calls[[#This Row],[Duration]]&lt;=30, "10 to 30 mins", calls[[#This Row],[Duration]]&lt;=60, "30 to 60 mins", calls[[#This Row],[Duration]]&lt;=120, "1 to 2 hours", TRUE, "More than 2 hours")</f>
        <v>More than 2 hours</v>
      </c>
      <c r="O920">
        <f>ROUND(calls[[#This Row],[Satisfaction Rating]],0)</f>
        <v>4</v>
      </c>
    </row>
    <row r="921" spans="2:15" x14ac:dyDescent="0.25">
      <c r="B921" t="s">
        <v>942</v>
      </c>
      <c r="C921" t="s">
        <v>13</v>
      </c>
      <c r="D921">
        <f>VLOOKUP(C921,customers[],3,0)</f>
        <v>37</v>
      </c>
      <c r="E921" t="str">
        <f>VLOOKUP(C921,customers[],2,0)</f>
        <v>Female</v>
      </c>
      <c r="F921" t="str">
        <f>VLOOKUP(C921,customers[],4,0)</f>
        <v>Cleveland</v>
      </c>
      <c r="G921">
        <v>113</v>
      </c>
      <c r="H921" s="17" t="s">
        <v>8</v>
      </c>
      <c r="I921" s="18">
        <v>45245</v>
      </c>
      <c r="J921">
        <v>34</v>
      </c>
      <c r="K921">
        <v>3.9</v>
      </c>
      <c r="L921">
        <f>IF(MONTH(calls[[#This Row],[Date of Call]])&lt;=6, YEAR(calls[[#This Row],[Date of Call]]), YEAR(calls[[#This Row],[Date of Call]])+1)</f>
        <v>2024</v>
      </c>
      <c r="M921" t="str">
        <f>TEXT(calls[[#This Row],[Date of Call]],"DDDD")</f>
        <v>الأربعاء</v>
      </c>
      <c r="N921" t="str" cm="1">
        <f t="array" ref="N921">_xlfn.IFS(calls[[#This Row],[Duration]]&lt;=10,"Under 10 mins", calls[[#This Row],[Duration]]&lt;=30, "10 to 30 mins", calls[[#This Row],[Duration]]&lt;=60, "30 to 60 mins", calls[[#This Row],[Duration]]&lt;=120, "1 to 2 hours", TRUE, "More than 2 hours")</f>
        <v>1 to 2 hours</v>
      </c>
      <c r="O921">
        <f>ROUND(calls[[#This Row],[Satisfaction Rating]],0)</f>
        <v>4</v>
      </c>
    </row>
    <row r="922" spans="2:15" x14ac:dyDescent="0.25">
      <c r="B922" t="s">
        <v>943</v>
      </c>
      <c r="C922" t="s">
        <v>7</v>
      </c>
      <c r="D922">
        <f>VLOOKUP(C922,customers[],3,0)</f>
        <v>30</v>
      </c>
      <c r="E922" t="str">
        <f>VLOOKUP(C922,customers[],2,0)</f>
        <v>Female</v>
      </c>
      <c r="F922" t="str">
        <f>VLOOKUP(C922,customers[],4,0)</f>
        <v>Cincinnati</v>
      </c>
      <c r="G922">
        <v>88</v>
      </c>
      <c r="H922" s="17" t="s">
        <v>9</v>
      </c>
      <c r="I922" s="18">
        <v>45245</v>
      </c>
      <c r="J922">
        <v>220</v>
      </c>
      <c r="K922">
        <v>4.0999999999999996</v>
      </c>
      <c r="L922">
        <f>IF(MONTH(calls[[#This Row],[Date of Call]])&lt;=6, YEAR(calls[[#This Row],[Date of Call]]), YEAR(calls[[#This Row],[Date of Call]])+1)</f>
        <v>2024</v>
      </c>
      <c r="M922" t="str">
        <f>TEXT(calls[[#This Row],[Date of Call]],"DDDD")</f>
        <v>الأربعاء</v>
      </c>
      <c r="N922" t="str" cm="1">
        <f t="array" ref="N922">_xlfn.IFS(calls[[#This Row],[Duration]]&lt;=10,"Under 10 mins", calls[[#This Row],[Duration]]&lt;=30, "10 to 30 mins", calls[[#This Row],[Duration]]&lt;=60, "30 to 60 mins", calls[[#This Row],[Duration]]&lt;=120, "1 to 2 hours", TRUE, "More than 2 hours")</f>
        <v>1 to 2 hours</v>
      </c>
      <c r="O922">
        <f>ROUND(calls[[#This Row],[Satisfaction Rating]],0)</f>
        <v>4</v>
      </c>
    </row>
    <row r="923" spans="2:15" x14ac:dyDescent="0.25">
      <c r="B923" t="s">
        <v>944</v>
      </c>
      <c r="C923" t="s">
        <v>19</v>
      </c>
      <c r="D923">
        <f>VLOOKUP(C923,customers[],3,0)</f>
        <v>26</v>
      </c>
      <c r="E923" t="str">
        <f>VLOOKUP(C923,customers[],2,0)</f>
        <v>Male</v>
      </c>
      <c r="F923" t="str">
        <f>VLOOKUP(C923,customers[],4,0)</f>
        <v>Cincinnati</v>
      </c>
      <c r="G923">
        <v>64</v>
      </c>
      <c r="H923" s="17" t="s">
        <v>5</v>
      </c>
      <c r="I923" s="18">
        <v>45245</v>
      </c>
      <c r="J923">
        <v>225</v>
      </c>
      <c r="K923">
        <v>4.5999999999999996</v>
      </c>
      <c r="L923">
        <f>IF(MONTH(calls[[#This Row],[Date of Call]])&lt;=6, YEAR(calls[[#This Row],[Date of Call]]), YEAR(calls[[#This Row],[Date of Call]])+1)</f>
        <v>2024</v>
      </c>
      <c r="M923" t="str">
        <f>TEXT(calls[[#This Row],[Date of Call]],"DDDD")</f>
        <v>الأربعاء</v>
      </c>
      <c r="N923" t="str" cm="1">
        <f t="array" ref="N923">_xlfn.IFS(calls[[#This Row],[Duration]]&lt;=10,"Under 10 mins", calls[[#This Row],[Duration]]&lt;=30, "10 to 30 mins", calls[[#This Row],[Duration]]&lt;=60, "30 to 60 mins", calls[[#This Row],[Duration]]&lt;=120, "1 to 2 hours", TRUE, "More than 2 hours")</f>
        <v>1 to 2 hours</v>
      </c>
      <c r="O923">
        <f>ROUND(calls[[#This Row],[Satisfaction Rating]],0)</f>
        <v>5</v>
      </c>
    </row>
    <row r="924" spans="2:15" x14ac:dyDescent="0.25">
      <c r="B924" t="s">
        <v>945</v>
      </c>
      <c r="C924" t="s">
        <v>22</v>
      </c>
      <c r="D924">
        <f>VLOOKUP(C924,customers[],3,0)</f>
        <v>37</v>
      </c>
      <c r="E924" t="str">
        <f>VLOOKUP(C924,customers[],2,0)</f>
        <v>Male</v>
      </c>
      <c r="F924" t="str">
        <f>VLOOKUP(C924,customers[],4,0)</f>
        <v>Columbus</v>
      </c>
      <c r="G924">
        <v>53</v>
      </c>
      <c r="H924" s="17" t="s">
        <v>5</v>
      </c>
      <c r="I924" s="18">
        <v>45246</v>
      </c>
      <c r="J924">
        <v>37</v>
      </c>
      <c r="K924">
        <v>4.0999999999999996</v>
      </c>
      <c r="L924">
        <f>IF(MONTH(calls[[#This Row],[Date of Call]])&lt;=6, YEAR(calls[[#This Row],[Date of Call]]), YEAR(calls[[#This Row],[Date of Call]])+1)</f>
        <v>2024</v>
      </c>
      <c r="M924" t="str">
        <f>TEXT(calls[[#This Row],[Date of Call]],"DDDD")</f>
        <v>الخميس</v>
      </c>
      <c r="N924" t="str" cm="1">
        <f t="array" ref="N924">_xlfn.IFS(calls[[#This Row],[Duration]]&lt;=10,"Under 10 mins", calls[[#This Row],[Duration]]&lt;=30, "10 to 30 mins", calls[[#This Row],[Duration]]&lt;=60, "30 to 60 mins", calls[[#This Row],[Duration]]&lt;=120, "1 to 2 hours", TRUE, "More than 2 hours")</f>
        <v>30 to 60 mins</v>
      </c>
      <c r="O924">
        <f>ROUND(calls[[#This Row],[Satisfaction Rating]],0)</f>
        <v>4</v>
      </c>
    </row>
    <row r="925" spans="2:15" x14ac:dyDescent="0.25">
      <c r="B925" t="s">
        <v>946</v>
      </c>
      <c r="C925" t="s">
        <v>15</v>
      </c>
      <c r="D925">
        <f>VLOOKUP(C925,customers[],3,0)</f>
        <v>28</v>
      </c>
      <c r="E925" t="str">
        <f>VLOOKUP(C925,customers[],2,0)</f>
        <v>Female</v>
      </c>
      <c r="F925" t="str">
        <f>VLOOKUP(C925,customers[],4,0)</f>
        <v>Cincinnati</v>
      </c>
      <c r="G925">
        <v>63</v>
      </c>
      <c r="H925" s="17" t="s">
        <v>8</v>
      </c>
      <c r="I925" s="18">
        <v>45246</v>
      </c>
      <c r="J925">
        <v>44</v>
      </c>
      <c r="K925">
        <v>5</v>
      </c>
      <c r="L925">
        <f>IF(MONTH(calls[[#This Row],[Date of Call]])&lt;=6, YEAR(calls[[#This Row],[Date of Call]]), YEAR(calls[[#This Row],[Date of Call]])+1)</f>
        <v>2024</v>
      </c>
      <c r="M925" t="str">
        <f>TEXT(calls[[#This Row],[Date of Call]],"DDDD")</f>
        <v>الخميس</v>
      </c>
      <c r="N925" t="str" cm="1">
        <f t="array" ref="N925">_xlfn.IFS(calls[[#This Row],[Duration]]&lt;=10,"Under 10 mins", calls[[#This Row],[Duration]]&lt;=30, "10 to 30 mins", calls[[#This Row],[Duration]]&lt;=60, "30 to 60 mins", calls[[#This Row],[Duration]]&lt;=120, "1 to 2 hours", TRUE, "More than 2 hours")</f>
        <v>1 to 2 hours</v>
      </c>
      <c r="O925">
        <f>ROUND(calls[[#This Row],[Satisfaction Rating]],0)</f>
        <v>5</v>
      </c>
    </row>
    <row r="926" spans="2:15" x14ac:dyDescent="0.25">
      <c r="B926" t="s">
        <v>947</v>
      </c>
      <c r="C926" t="s">
        <v>14</v>
      </c>
      <c r="D926">
        <f>VLOOKUP(C926,customers[],3,0)</f>
        <v>22</v>
      </c>
      <c r="E926" t="str">
        <f>VLOOKUP(C926,customers[],2,0)</f>
        <v>Female</v>
      </c>
      <c r="F926" t="str">
        <f>VLOOKUP(C926,customers[],4,0)</f>
        <v>Cleveland</v>
      </c>
      <c r="G926">
        <v>54</v>
      </c>
      <c r="H926" s="17" t="s">
        <v>8</v>
      </c>
      <c r="I926" s="18">
        <v>45247</v>
      </c>
      <c r="J926">
        <v>35</v>
      </c>
      <c r="K926">
        <v>2.8</v>
      </c>
      <c r="L926">
        <f>IF(MONTH(calls[[#This Row],[Date of Call]])&lt;=6, YEAR(calls[[#This Row],[Date of Call]]), YEAR(calls[[#This Row],[Date of Call]])+1)</f>
        <v>2024</v>
      </c>
      <c r="M926" t="str">
        <f>TEXT(calls[[#This Row],[Date of Call]],"DDDD")</f>
        <v>الجمعة</v>
      </c>
      <c r="N926" t="str" cm="1">
        <f t="array" ref="N926">_xlfn.IFS(calls[[#This Row],[Duration]]&lt;=10,"Under 10 mins", calls[[#This Row],[Duration]]&lt;=30, "10 to 30 mins", calls[[#This Row],[Duration]]&lt;=60, "30 to 60 mins", calls[[#This Row],[Duration]]&lt;=120, "1 to 2 hours", TRUE, "More than 2 hours")</f>
        <v>30 to 60 mins</v>
      </c>
      <c r="O926">
        <f>ROUND(calls[[#This Row],[Satisfaction Rating]],0)</f>
        <v>3</v>
      </c>
    </row>
    <row r="927" spans="2:15" x14ac:dyDescent="0.25">
      <c r="B927" t="s">
        <v>948</v>
      </c>
      <c r="C927" t="s">
        <v>15</v>
      </c>
      <c r="D927">
        <f>VLOOKUP(C927,customers[],3,0)</f>
        <v>28</v>
      </c>
      <c r="E927" t="str">
        <f>VLOOKUP(C927,customers[],2,0)</f>
        <v>Female</v>
      </c>
      <c r="F927" t="str">
        <f>VLOOKUP(C927,customers[],4,0)</f>
        <v>Cincinnati</v>
      </c>
      <c r="G927">
        <v>54</v>
      </c>
      <c r="H927" s="17" t="s">
        <v>9</v>
      </c>
      <c r="I927" s="18">
        <v>45247</v>
      </c>
      <c r="J927">
        <v>145</v>
      </c>
      <c r="K927">
        <v>2.7</v>
      </c>
      <c r="L927">
        <f>IF(MONTH(calls[[#This Row],[Date of Call]])&lt;=6, YEAR(calls[[#This Row],[Date of Call]]), YEAR(calls[[#This Row],[Date of Call]])+1)</f>
        <v>2024</v>
      </c>
      <c r="M927" t="str">
        <f>TEXT(calls[[#This Row],[Date of Call]],"DDDD")</f>
        <v>الجمعة</v>
      </c>
      <c r="N927" t="str" cm="1">
        <f t="array" ref="N927">_xlfn.IFS(calls[[#This Row],[Duration]]&lt;=10,"Under 10 mins", calls[[#This Row],[Duration]]&lt;=30, "10 to 30 mins", calls[[#This Row],[Duration]]&lt;=60, "30 to 60 mins", calls[[#This Row],[Duration]]&lt;=120, "1 to 2 hours", TRUE, "More than 2 hours")</f>
        <v>30 to 60 mins</v>
      </c>
      <c r="O927">
        <f>ROUND(calls[[#This Row],[Satisfaction Rating]],0)</f>
        <v>3</v>
      </c>
    </row>
    <row r="928" spans="2:15" x14ac:dyDescent="0.25">
      <c r="B928" t="s">
        <v>949</v>
      </c>
      <c r="C928" t="s">
        <v>17</v>
      </c>
      <c r="D928">
        <f>VLOOKUP(C928,customers[],3,0)</f>
        <v>30</v>
      </c>
      <c r="E928" t="str">
        <f>VLOOKUP(C928,customers[],2,0)</f>
        <v>Female</v>
      </c>
      <c r="F928" t="str">
        <f>VLOOKUP(C928,customers[],4,0)</f>
        <v>Cleveland</v>
      </c>
      <c r="G928">
        <v>71</v>
      </c>
      <c r="H928" s="17" t="s">
        <v>5</v>
      </c>
      <c r="I928" s="18">
        <v>45247</v>
      </c>
      <c r="J928">
        <v>64</v>
      </c>
      <c r="K928">
        <v>3.9</v>
      </c>
      <c r="L928">
        <f>IF(MONTH(calls[[#This Row],[Date of Call]])&lt;=6, YEAR(calls[[#This Row],[Date of Call]]), YEAR(calls[[#This Row],[Date of Call]])+1)</f>
        <v>2024</v>
      </c>
      <c r="M928" t="str">
        <f>TEXT(calls[[#This Row],[Date of Call]],"DDDD")</f>
        <v>الجمعة</v>
      </c>
      <c r="N928" t="str" cm="1">
        <f t="array" ref="N928">_xlfn.IFS(calls[[#This Row],[Duration]]&lt;=10,"Under 10 mins", calls[[#This Row],[Duration]]&lt;=30, "10 to 30 mins", calls[[#This Row],[Duration]]&lt;=60, "30 to 60 mins", calls[[#This Row],[Duration]]&lt;=120, "1 to 2 hours", TRUE, "More than 2 hours")</f>
        <v>1 to 2 hours</v>
      </c>
      <c r="O928">
        <f>ROUND(calls[[#This Row],[Satisfaction Rating]],0)</f>
        <v>4</v>
      </c>
    </row>
    <row r="929" spans="2:15" x14ac:dyDescent="0.25">
      <c r="B929" t="s">
        <v>950</v>
      </c>
      <c r="C929" t="s">
        <v>15</v>
      </c>
      <c r="D929">
        <f>VLOOKUP(C929,customers[],3,0)</f>
        <v>28</v>
      </c>
      <c r="E929" t="str">
        <f>VLOOKUP(C929,customers[],2,0)</f>
        <v>Female</v>
      </c>
      <c r="F929" t="str">
        <f>VLOOKUP(C929,customers[],4,0)</f>
        <v>Cincinnati</v>
      </c>
      <c r="G929">
        <v>93</v>
      </c>
      <c r="H929" s="17" t="s">
        <v>9</v>
      </c>
      <c r="I929" s="18">
        <v>45248</v>
      </c>
      <c r="J929">
        <v>185</v>
      </c>
      <c r="K929">
        <v>4.3</v>
      </c>
      <c r="L929">
        <f>IF(MONTH(calls[[#This Row],[Date of Call]])&lt;=6, YEAR(calls[[#This Row],[Date of Call]]), YEAR(calls[[#This Row],[Date of Call]])+1)</f>
        <v>2024</v>
      </c>
      <c r="M929" t="str">
        <f>TEXT(calls[[#This Row],[Date of Call]],"DDDD")</f>
        <v>السبت</v>
      </c>
      <c r="N929" t="str" cm="1">
        <f t="array" ref="N929">_xlfn.IFS(calls[[#This Row],[Duration]]&lt;=10,"Under 10 mins", calls[[#This Row],[Duration]]&lt;=30, "10 to 30 mins", calls[[#This Row],[Duration]]&lt;=60, "30 to 60 mins", calls[[#This Row],[Duration]]&lt;=120, "1 to 2 hours", TRUE, "More than 2 hours")</f>
        <v>1 to 2 hours</v>
      </c>
      <c r="O929">
        <f>ROUND(calls[[#This Row],[Satisfaction Rating]],0)</f>
        <v>4</v>
      </c>
    </row>
    <row r="930" spans="2:15" x14ac:dyDescent="0.25">
      <c r="B930" t="s">
        <v>951</v>
      </c>
      <c r="C930" t="s">
        <v>20</v>
      </c>
      <c r="D930">
        <f>VLOOKUP(C930,customers[],3,0)</f>
        <v>38</v>
      </c>
      <c r="E930" t="str">
        <f>VLOOKUP(C930,customers[],2,0)</f>
        <v>Female</v>
      </c>
      <c r="F930" t="str">
        <f>VLOOKUP(C930,customers[],4,0)</f>
        <v>Columbus</v>
      </c>
      <c r="G930">
        <v>96</v>
      </c>
      <c r="H930" s="17" t="s">
        <v>8</v>
      </c>
      <c r="I930" s="18">
        <v>45248</v>
      </c>
      <c r="J930">
        <v>215</v>
      </c>
      <c r="K930">
        <v>2.5</v>
      </c>
      <c r="L930">
        <f>IF(MONTH(calls[[#This Row],[Date of Call]])&lt;=6, YEAR(calls[[#This Row],[Date of Call]]), YEAR(calls[[#This Row],[Date of Call]])+1)</f>
        <v>2024</v>
      </c>
      <c r="M930" t="str">
        <f>TEXT(calls[[#This Row],[Date of Call]],"DDDD")</f>
        <v>السبت</v>
      </c>
      <c r="N930" t="str" cm="1">
        <f t="array" ref="N930">_xlfn.IFS(calls[[#This Row],[Duration]]&lt;=10,"Under 10 mins", calls[[#This Row],[Duration]]&lt;=30, "10 to 30 mins", calls[[#This Row],[Duration]]&lt;=60, "30 to 60 mins", calls[[#This Row],[Duration]]&lt;=120, "1 to 2 hours", TRUE, "More than 2 hours")</f>
        <v>1 to 2 hours</v>
      </c>
      <c r="O930">
        <f>ROUND(calls[[#This Row],[Satisfaction Rating]],0)</f>
        <v>3</v>
      </c>
    </row>
    <row r="931" spans="2:15" x14ac:dyDescent="0.25">
      <c r="B931" t="s">
        <v>952</v>
      </c>
      <c r="C931" t="s">
        <v>23</v>
      </c>
      <c r="D931">
        <f>VLOOKUP(C931,customers[],3,0)</f>
        <v>31</v>
      </c>
      <c r="E931" t="str">
        <f>VLOOKUP(C931,customers[],2,0)</f>
        <v>Male</v>
      </c>
      <c r="F931" t="str">
        <f>VLOOKUP(C931,customers[],4,0)</f>
        <v>Cleveland</v>
      </c>
      <c r="G931">
        <v>31</v>
      </c>
      <c r="H931" s="17" t="s">
        <v>10</v>
      </c>
      <c r="I931" s="18">
        <v>45248</v>
      </c>
      <c r="J931">
        <v>88</v>
      </c>
      <c r="K931">
        <v>3.4</v>
      </c>
      <c r="L931">
        <f>IF(MONTH(calls[[#This Row],[Date of Call]])&lt;=6, YEAR(calls[[#This Row],[Date of Call]]), YEAR(calls[[#This Row],[Date of Call]])+1)</f>
        <v>2024</v>
      </c>
      <c r="M931" t="str">
        <f>TEXT(calls[[#This Row],[Date of Call]],"DDDD")</f>
        <v>السبت</v>
      </c>
      <c r="N931" t="str" cm="1">
        <f t="array" ref="N931">_xlfn.IFS(calls[[#This Row],[Duration]]&lt;=10,"Under 10 mins", calls[[#This Row],[Duration]]&lt;=30, "10 to 30 mins", calls[[#This Row],[Duration]]&lt;=60, "30 to 60 mins", calls[[#This Row],[Duration]]&lt;=120, "1 to 2 hours", TRUE, "More than 2 hours")</f>
        <v>30 to 60 mins</v>
      </c>
      <c r="O931">
        <f>ROUND(calls[[#This Row],[Satisfaction Rating]],0)</f>
        <v>3</v>
      </c>
    </row>
    <row r="932" spans="2:15" x14ac:dyDescent="0.25">
      <c r="B932" t="s">
        <v>953</v>
      </c>
      <c r="C932" t="s">
        <v>15</v>
      </c>
      <c r="D932">
        <f>VLOOKUP(C932,customers[],3,0)</f>
        <v>28</v>
      </c>
      <c r="E932" t="str">
        <f>VLOOKUP(C932,customers[],2,0)</f>
        <v>Female</v>
      </c>
      <c r="F932" t="str">
        <f>VLOOKUP(C932,customers[],4,0)</f>
        <v>Cincinnati</v>
      </c>
      <c r="G932">
        <v>107</v>
      </c>
      <c r="H932" s="17" t="s">
        <v>5</v>
      </c>
      <c r="I932" s="18">
        <v>45248</v>
      </c>
      <c r="J932">
        <v>23</v>
      </c>
      <c r="K932">
        <v>3.4</v>
      </c>
      <c r="L932">
        <f>IF(MONTH(calls[[#This Row],[Date of Call]])&lt;=6, YEAR(calls[[#This Row],[Date of Call]]), YEAR(calls[[#This Row],[Date of Call]])+1)</f>
        <v>2024</v>
      </c>
      <c r="M932" t="str">
        <f>TEXT(calls[[#This Row],[Date of Call]],"DDDD")</f>
        <v>السبت</v>
      </c>
      <c r="N932" t="str" cm="1">
        <f t="array" ref="N932">_xlfn.IFS(calls[[#This Row],[Duration]]&lt;=10,"Under 10 mins", calls[[#This Row],[Duration]]&lt;=30, "10 to 30 mins", calls[[#This Row],[Duration]]&lt;=60, "30 to 60 mins", calls[[#This Row],[Duration]]&lt;=120, "1 to 2 hours", TRUE, "More than 2 hours")</f>
        <v>1 to 2 hours</v>
      </c>
      <c r="O932">
        <f>ROUND(calls[[#This Row],[Satisfaction Rating]],0)</f>
        <v>3</v>
      </c>
    </row>
    <row r="933" spans="2:15" x14ac:dyDescent="0.25">
      <c r="B933" t="s">
        <v>954</v>
      </c>
      <c r="C933" t="s">
        <v>22</v>
      </c>
      <c r="D933">
        <f>VLOOKUP(C933,customers[],3,0)</f>
        <v>37</v>
      </c>
      <c r="E933" t="str">
        <f>VLOOKUP(C933,customers[],2,0)</f>
        <v>Male</v>
      </c>
      <c r="F933" t="str">
        <f>VLOOKUP(C933,customers[],4,0)</f>
        <v>Columbus</v>
      </c>
      <c r="G933">
        <v>50</v>
      </c>
      <c r="H933" s="17" t="s">
        <v>10</v>
      </c>
      <c r="I933" s="18">
        <v>45249</v>
      </c>
      <c r="J933">
        <v>180</v>
      </c>
      <c r="K933">
        <v>1.8</v>
      </c>
      <c r="L933">
        <f>IF(MONTH(calls[[#This Row],[Date of Call]])&lt;=6, YEAR(calls[[#This Row],[Date of Call]]), YEAR(calls[[#This Row],[Date of Call]])+1)</f>
        <v>2024</v>
      </c>
      <c r="M933" t="str">
        <f>TEXT(calls[[#This Row],[Date of Call]],"DDDD")</f>
        <v>الأحد</v>
      </c>
      <c r="N933" t="str" cm="1">
        <f t="array" ref="N933">_xlfn.IFS(calls[[#This Row],[Duration]]&lt;=10,"Under 10 mins", calls[[#This Row],[Duration]]&lt;=30, "10 to 30 mins", calls[[#This Row],[Duration]]&lt;=60, "30 to 60 mins", calls[[#This Row],[Duration]]&lt;=120, "1 to 2 hours", TRUE, "More than 2 hours")</f>
        <v>30 to 60 mins</v>
      </c>
      <c r="O933">
        <f>ROUND(calls[[#This Row],[Satisfaction Rating]],0)</f>
        <v>2</v>
      </c>
    </row>
    <row r="934" spans="2:15" x14ac:dyDescent="0.25">
      <c r="B934" t="s">
        <v>955</v>
      </c>
      <c r="C934" t="s">
        <v>16</v>
      </c>
      <c r="D934">
        <f>VLOOKUP(C934,customers[],3,0)</f>
        <v>41</v>
      </c>
      <c r="E934" t="str">
        <f>VLOOKUP(C934,customers[],2,0)</f>
        <v>Male</v>
      </c>
      <c r="F934" t="str">
        <f>VLOOKUP(C934,customers[],4,0)</f>
        <v>Columbus</v>
      </c>
      <c r="G934">
        <v>69</v>
      </c>
      <c r="H934" s="17" t="s">
        <v>5</v>
      </c>
      <c r="I934" s="18">
        <v>45250</v>
      </c>
      <c r="J934">
        <v>225</v>
      </c>
      <c r="K934">
        <v>3.7</v>
      </c>
      <c r="L934">
        <f>IF(MONTH(calls[[#This Row],[Date of Call]])&lt;=6, YEAR(calls[[#This Row],[Date of Call]]), YEAR(calls[[#This Row],[Date of Call]])+1)</f>
        <v>2024</v>
      </c>
      <c r="M934" t="str">
        <f>TEXT(calls[[#This Row],[Date of Call]],"DDDD")</f>
        <v>الإثنين</v>
      </c>
      <c r="N934" t="str" cm="1">
        <f t="array" ref="N934">_xlfn.IFS(calls[[#This Row],[Duration]]&lt;=10,"Under 10 mins", calls[[#This Row],[Duration]]&lt;=30, "10 to 30 mins", calls[[#This Row],[Duration]]&lt;=60, "30 to 60 mins", calls[[#This Row],[Duration]]&lt;=120, "1 to 2 hours", TRUE, "More than 2 hours")</f>
        <v>1 to 2 hours</v>
      </c>
      <c r="O934">
        <f>ROUND(calls[[#This Row],[Satisfaction Rating]],0)</f>
        <v>4</v>
      </c>
    </row>
    <row r="935" spans="2:15" x14ac:dyDescent="0.25">
      <c r="B935" t="s">
        <v>956</v>
      </c>
      <c r="C935" t="s">
        <v>7</v>
      </c>
      <c r="D935">
        <f>VLOOKUP(C935,customers[],3,0)</f>
        <v>30</v>
      </c>
      <c r="E935" t="str">
        <f>VLOOKUP(C935,customers[],2,0)</f>
        <v>Female</v>
      </c>
      <c r="F935" t="str">
        <f>VLOOKUP(C935,customers[],4,0)</f>
        <v>Cincinnati</v>
      </c>
      <c r="G935">
        <v>26</v>
      </c>
      <c r="H935" s="17" t="s">
        <v>8</v>
      </c>
      <c r="I935" s="18">
        <v>45251</v>
      </c>
      <c r="J935">
        <v>74</v>
      </c>
      <c r="K935">
        <v>4.0999999999999996</v>
      </c>
      <c r="L935">
        <f>IF(MONTH(calls[[#This Row],[Date of Call]])&lt;=6, YEAR(calls[[#This Row],[Date of Call]]), YEAR(calls[[#This Row],[Date of Call]])+1)</f>
        <v>2024</v>
      </c>
      <c r="M935" t="str">
        <f>TEXT(calls[[#This Row],[Date of Call]],"DDDD")</f>
        <v>الثلاثاء</v>
      </c>
      <c r="N935" t="str" cm="1">
        <f t="array" ref="N935">_xlfn.IFS(calls[[#This Row],[Duration]]&lt;=10,"Under 10 mins", calls[[#This Row],[Duration]]&lt;=30, "10 to 30 mins", calls[[#This Row],[Duration]]&lt;=60, "30 to 60 mins", calls[[#This Row],[Duration]]&lt;=120, "1 to 2 hours", TRUE, "More than 2 hours")</f>
        <v>10 to 30 mins</v>
      </c>
      <c r="O935">
        <f>ROUND(calls[[#This Row],[Satisfaction Rating]],0)</f>
        <v>4</v>
      </c>
    </row>
    <row r="936" spans="2:15" x14ac:dyDescent="0.25">
      <c r="B936" t="s">
        <v>957</v>
      </c>
      <c r="C936" t="s">
        <v>20</v>
      </c>
      <c r="D936">
        <f>VLOOKUP(C936,customers[],3,0)</f>
        <v>38</v>
      </c>
      <c r="E936" t="str">
        <f>VLOOKUP(C936,customers[],2,0)</f>
        <v>Female</v>
      </c>
      <c r="F936" t="str">
        <f>VLOOKUP(C936,customers[],4,0)</f>
        <v>Columbus</v>
      </c>
      <c r="G936">
        <v>158</v>
      </c>
      <c r="H936" s="17" t="s">
        <v>5</v>
      </c>
      <c r="I936" s="18">
        <v>45251</v>
      </c>
      <c r="J936">
        <v>36</v>
      </c>
      <c r="K936">
        <v>3</v>
      </c>
      <c r="L936">
        <f>IF(MONTH(calls[[#This Row],[Date of Call]])&lt;=6, YEAR(calls[[#This Row],[Date of Call]]), YEAR(calls[[#This Row],[Date of Call]])+1)</f>
        <v>2024</v>
      </c>
      <c r="M936" t="str">
        <f>TEXT(calls[[#This Row],[Date of Call]],"DDDD")</f>
        <v>الثلاثاء</v>
      </c>
      <c r="N936" t="str" cm="1">
        <f t="array" ref="N936">_xlfn.IFS(calls[[#This Row],[Duration]]&lt;=10,"Under 10 mins", calls[[#This Row],[Duration]]&lt;=30, "10 to 30 mins", calls[[#This Row],[Duration]]&lt;=60, "30 to 60 mins", calls[[#This Row],[Duration]]&lt;=120, "1 to 2 hours", TRUE, "More than 2 hours")</f>
        <v>More than 2 hours</v>
      </c>
      <c r="O936">
        <f>ROUND(calls[[#This Row],[Satisfaction Rating]],0)</f>
        <v>3</v>
      </c>
    </row>
    <row r="937" spans="2:15" x14ac:dyDescent="0.25">
      <c r="B937" t="s">
        <v>958</v>
      </c>
      <c r="C937" t="s">
        <v>14</v>
      </c>
      <c r="D937">
        <f>VLOOKUP(C937,customers[],3,0)</f>
        <v>22</v>
      </c>
      <c r="E937" t="str">
        <f>VLOOKUP(C937,customers[],2,0)</f>
        <v>Female</v>
      </c>
      <c r="F937" t="str">
        <f>VLOOKUP(C937,customers[],4,0)</f>
        <v>Cleveland</v>
      </c>
      <c r="G937">
        <v>99</v>
      </c>
      <c r="H937" s="17" t="s">
        <v>5</v>
      </c>
      <c r="I937" s="18">
        <v>45253</v>
      </c>
      <c r="J937">
        <v>116</v>
      </c>
      <c r="K937">
        <v>3.9</v>
      </c>
      <c r="L937">
        <f>IF(MONTH(calls[[#This Row],[Date of Call]])&lt;=6, YEAR(calls[[#This Row],[Date of Call]]), YEAR(calls[[#This Row],[Date of Call]])+1)</f>
        <v>2024</v>
      </c>
      <c r="M937" t="str">
        <f>TEXT(calls[[#This Row],[Date of Call]],"DDDD")</f>
        <v>الخميس</v>
      </c>
      <c r="N937" t="str" cm="1">
        <f t="array" ref="N937">_xlfn.IFS(calls[[#This Row],[Duration]]&lt;=10,"Under 10 mins", calls[[#This Row],[Duration]]&lt;=30, "10 to 30 mins", calls[[#This Row],[Duration]]&lt;=60, "30 to 60 mins", calls[[#This Row],[Duration]]&lt;=120, "1 to 2 hours", TRUE, "More than 2 hours")</f>
        <v>1 to 2 hours</v>
      </c>
      <c r="O937">
        <f>ROUND(calls[[#This Row],[Satisfaction Rating]],0)</f>
        <v>4</v>
      </c>
    </row>
    <row r="938" spans="2:15" x14ac:dyDescent="0.25">
      <c r="B938" t="s">
        <v>959</v>
      </c>
      <c r="C938" t="s">
        <v>20</v>
      </c>
      <c r="D938">
        <f>VLOOKUP(C938,customers[],3,0)</f>
        <v>38</v>
      </c>
      <c r="E938" t="str">
        <f>VLOOKUP(C938,customers[],2,0)</f>
        <v>Female</v>
      </c>
      <c r="F938" t="str">
        <f>VLOOKUP(C938,customers[],4,0)</f>
        <v>Columbus</v>
      </c>
      <c r="G938">
        <v>78</v>
      </c>
      <c r="H938" s="17" t="s">
        <v>10</v>
      </c>
      <c r="I938" s="18">
        <v>45253</v>
      </c>
      <c r="J938">
        <v>140</v>
      </c>
      <c r="K938">
        <v>4</v>
      </c>
      <c r="L938">
        <f>IF(MONTH(calls[[#This Row],[Date of Call]])&lt;=6, YEAR(calls[[#This Row],[Date of Call]]), YEAR(calls[[#This Row],[Date of Call]])+1)</f>
        <v>2024</v>
      </c>
      <c r="M938" t="str">
        <f>TEXT(calls[[#This Row],[Date of Call]],"DDDD")</f>
        <v>الخميس</v>
      </c>
      <c r="N938" t="str" cm="1">
        <f t="array" ref="N938">_xlfn.IFS(calls[[#This Row],[Duration]]&lt;=10,"Under 10 mins", calls[[#This Row],[Duration]]&lt;=30, "10 to 30 mins", calls[[#This Row],[Duration]]&lt;=60, "30 to 60 mins", calls[[#This Row],[Duration]]&lt;=120, "1 to 2 hours", TRUE, "More than 2 hours")</f>
        <v>1 to 2 hours</v>
      </c>
      <c r="O938">
        <f>ROUND(calls[[#This Row],[Satisfaction Rating]],0)</f>
        <v>4</v>
      </c>
    </row>
    <row r="939" spans="2:15" x14ac:dyDescent="0.25">
      <c r="B939" t="s">
        <v>960</v>
      </c>
      <c r="C939" t="s">
        <v>20</v>
      </c>
      <c r="D939">
        <f>VLOOKUP(C939,customers[],3,0)</f>
        <v>38</v>
      </c>
      <c r="E939" t="str">
        <f>VLOOKUP(C939,customers[],2,0)</f>
        <v>Female</v>
      </c>
      <c r="F939" t="str">
        <f>VLOOKUP(C939,customers[],4,0)</f>
        <v>Columbus</v>
      </c>
      <c r="G939">
        <v>102</v>
      </c>
      <c r="H939" s="17" t="s">
        <v>8</v>
      </c>
      <c r="I939" s="18">
        <v>45254</v>
      </c>
      <c r="J939">
        <v>104</v>
      </c>
      <c r="K939">
        <v>4.5</v>
      </c>
      <c r="L939">
        <f>IF(MONTH(calls[[#This Row],[Date of Call]])&lt;=6, YEAR(calls[[#This Row],[Date of Call]]), YEAR(calls[[#This Row],[Date of Call]])+1)</f>
        <v>2024</v>
      </c>
      <c r="M939" t="str">
        <f>TEXT(calls[[#This Row],[Date of Call]],"DDDD")</f>
        <v>الجمعة</v>
      </c>
      <c r="N939" t="str" cm="1">
        <f t="array" ref="N939">_xlfn.IFS(calls[[#This Row],[Duration]]&lt;=10,"Under 10 mins", calls[[#This Row],[Duration]]&lt;=30, "10 to 30 mins", calls[[#This Row],[Duration]]&lt;=60, "30 to 60 mins", calls[[#This Row],[Duration]]&lt;=120, "1 to 2 hours", TRUE, "More than 2 hours")</f>
        <v>1 to 2 hours</v>
      </c>
      <c r="O939">
        <f>ROUND(calls[[#This Row],[Satisfaction Rating]],0)</f>
        <v>5</v>
      </c>
    </row>
    <row r="940" spans="2:15" x14ac:dyDescent="0.25">
      <c r="B940" t="s">
        <v>961</v>
      </c>
      <c r="C940" t="s">
        <v>14</v>
      </c>
      <c r="D940">
        <f>VLOOKUP(C940,customers[],3,0)</f>
        <v>22</v>
      </c>
      <c r="E940" t="str">
        <f>VLOOKUP(C940,customers[],2,0)</f>
        <v>Female</v>
      </c>
      <c r="F940" t="str">
        <f>VLOOKUP(C940,customers[],4,0)</f>
        <v>Cleveland</v>
      </c>
      <c r="G940">
        <v>158</v>
      </c>
      <c r="H940" s="17" t="s">
        <v>12</v>
      </c>
      <c r="I940" s="18">
        <v>45254</v>
      </c>
      <c r="J940">
        <v>148</v>
      </c>
      <c r="K940">
        <v>4</v>
      </c>
      <c r="L940">
        <f>IF(MONTH(calls[[#This Row],[Date of Call]])&lt;=6, YEAR(calls[[#This Row],[Date of Call]]), YEAR(calls[[#This Row],[Date of Call]])+1)</f>
        <v>2024</v>
      </c>
      <c r="M940" t="str">
        <f>TEXT(calls[[#This Row],[Date of Call]],"DDDD")</f>
        <v>الجمعة</v>
      </c>
      <c r="N940" t="str" cm="1">
        <f t="array" ref="N940">_xlfn.IFS(calls[[#This Row],[Duration]]&lt;=10,"Under 10 mins", calls[[#This Row],[Duration]]&lt;=30, "10 to 30 mins", calls[[#This Row],[Duration]]&lt;=60, "30 to 60 mins", calls[[#This Row],[Duration]]&lt;=120, "1 to 2 hours", TRUE, "More than 2 hours")</f>
        <v>More than 2 hours</v>
      </c>
      <c r="O940">
        <f>ROUND(calls[[#This Row],[Satisfaction Rating]],0)</f>
        <v>4</v>
      </c>
    </row>
    <row r="941" spans="2:15" x14ac:dyDescent="0.25">
      <c r="B941" t="s">
        <v>962</v>
      </c>
      <c r="C941" t="s">
        <v>23</v>
      </c>
      <c r="D941">
        <f>VLOOKUP(C941,customers[],3,0)</f>
        <v>31</v>
      </c>
      <c r="E941" t="str">
        <f>VLOOKUP(C941,customers[],2,0)</f>
        <v>Male</v>
      </c>
      <c r="F941" t="str">
        <f>VLOOKUP(C941,customers[],4,0)</f>
        <v>Cleveland</v>
      </c>
      <c r="G941">
        <v>56</v>
      </c>
      <c r="H941" s="17" t="s">
        <v>5</v>
      </c>
      <c r="I941" s="18">
        <v>45254</v>
      </c>
      <c r="J941">
        <v>205</v>
      </c>
      <c r="K941">
        <v>4.3</v>
      </c>
      <c r="L941">
        <f>IF(MONTH(calls[[#This Row],[Date of Call]])&lt;=6, YEAR(calls[[#This Row],[Date of Call]]), YEAR(calls[[#This Row],[Date of Call]])+1)</f>
        <v>2024</v>
      </c>
      <c r="M941" t="str">
        <f>TEXT(calls[[#This Row],[Date of Call]],"DDDD")</f>
        <v>الجمعة</v>
      </c>
      <c r="N941" t="str" cm="1">
        <f t="array" ref="N941">_xlfn.IFS(calls[[#This Row],[Duration]]&lt;=10,"Under 10 mins", calls[[#This Row],[Duration]]&lt;=30, "10 to 30 mins", calls[[#This Row],[Duration]]&lt;=60, "30 to 60 mins", calls[[#This Row],[Duration]]&lt;=120, "1 to 2 hours", TRUE, "More than 2 hours")</f>
        <v>30 to 60 mins</v>
      </c>
      <c r="O941">
        <f>ROUND(calls[[#This Row],[Satisfaction Rating]],0)</f>
        <v>4</v>
      </c>
    </row>
    <row r="942" spans="2:15" x14ac:dyDescent="0.25">
      <c r="B942" t="s">
        <v>963</v>
      </c>
      <c r="C942" t="s">
        <v>11</v>
      </c>
      <c r="D942">
        <f>VLOOKUP(C942,customers[],3,0)</f>
        <v>36</v>
      </c>
      <c r="E942" t="str">
        <f>VLOOKUP(C942,customers[],2,0)</f>
        <v>Male</v>
      </c>
      <c r="F942" t="str">
        <f>VLOOKUP(C942,customers[],4,0)</f>
        <v>Cincinnati</v>
      </c>
      <c r="G942">
        <v>17</v>
      </c>
      <c r="H942" s="17" t="s">
        <v>9</v>
      </c>
      <c r="I942" s="18">
        <v>45254</v>
      </c>
      <c r="J942">
        <v>210</v>
      </c>
      <c r="K942">
        <v>4.8</v>
      </c>
      <c r="L942">
        <f>IF(MONTH(calls[[#This Row],[Date of Call]])&lt;=6, YEAR(calls[[#This Row],[Date of Call]]), YEAR(calls[[#This Row],[Date of Call]])+1)</f>
        <v>2024</v>
      </c>
      <c r="M942" t="str">
        <f>TEXT(calls[[#This Row],[Date of Call]],"DDDD")</f>
        <v>الجمعة</v>
      </c>
      <c r="N942" t="str" cm="1">
        <f t="array" ref="N942">_xlfn.IFS(calls[[#This Row],[Duration]]&lt;=10,"Under 10 mins", calls[[#This Row],[Duration]]&lt;=30, "10 to 30 mins", calls[[#This Row],[Duration]]&lt;=60, "30 to 60 mins", calls[[#This Row],[Duration]]&lt;=120, "1 to 2 hours", TRUE, "More than 2 hours")</f>
        <v>10 to 30 mins</v>
      </c>
      <c r="O942">
        <f>ROUND(calls[[#This Row],[Satisfaction Rating]],0)</f>
        <v>5</v>
      </c>
    </row>
    <row r="943" spans="2:15" x14ac:dyDescent="0.25">
      <c r="B943" t="s">
        <v>964</v>
      </c>
      <c r="C943" t="s">
        <v>7</v>
      </c>
      <c r="D943">
        <f>VLOOKUP(C943,customers[],3,0)</f>
        <v>30</v>
      </c>
      <c r="E943" t="str">
        <f>VLOOKUP(C943,customers[],2,0)</f>
        <v>Female</v>
      </c>
      <c r="F943" t="str">
        <f>VLOOKUP(C943,customers[],4,0)</f>
        <v>Cincinnati</v>
      </c>
      <c r="G943">
        <v>104</v>
      </c>
      <c r="H943" s="17" t="s">
        <v>12</v>
      </c>
      <c r="I943" s="18">
        <v>45256</v>
      </c>
      <c r="J943">
        <v>41</v>
      </c>
      <c r="K943">
        <v>4.7</v>
      </c>
      <c r="L943">
        <f>IF(MONTH(calls[[#This Row],[Date of Call]])&lt;=6, YEAR(calls[[#This Row],[Date of Call]]), YEAR(calls[[#This Row],[Date of Call]])+1)</f>
        <v>2024</v>
      </c>
      <c r="M943" t="str">
        <f>TEXT(calls[[#This Row],[Date of Call]],"DDDD")</f>
        <v>الأحد</v>
      </c>
      <c r="N943" t="str" cm="1">
        <f t="array" ref="N943">_xlfn.IFS(calls[[#This Row],[Duration]]&lt;=10,"Under 10 mins", calls[[#This Row],[Duration]]&lt;=30, "10 to 30 mins", calls[[#This Row],[Duration]]&lt;=60, "30 to 60 mins", calls[[#This Row],[Duration]]&lt;=120, "1 to 2 hours", TRUE, "More than 2 hours")</f>
        <v>1 to 2 hours</v>
      </c>
      <c r="O943">
        <f>ROUND(calls[[#This Row],[Satisfaction Rating]],0)</f>
        <v>5</v>
      </c>
    </row>
    <row r="944" spans="2:15" x14ac:dyDescent="0.25">
      <c r="B944" t="s">
        <v>965</v>
      </c>
      <c r="C944" t="s">
        <v>18</v>
      </c>
      <c r="D944">
        <f>VLOOKUP(C944,customers[],3,0)</f>
        <v>43</v>
      </c>
      <c r="E944" t="str">
        <f>VLOOKUP(C944,customers[],2,0)</f>
        <v>Female</v>
      </c>
      <c r="F944" t="str">
        <f>VLOOKUP(C944,customers[],4,0)</f>
        <v>Cleveland</v>
      </c>
      <c r="G944">
        <v>96</v>
      </c>
      <c r="H944" s="17" t="s">
        <v>10</v>
      </c>
      <c r="I944" s="18">
        <v>45256</v>
      </c>
      <c r="J944">
        <v>136</v>
      </c>
      <c r="K944">
        <v>5</v>
      </c>
      <c r="L944">
        <f>IF(MONTH(calls[[#This Row],[Date of Call]])&lt;=6, YEAR(calls[[#This Row],[Date of Call]]), YEAR(calls[[#This Row],[Date of Call]])+1)</f>
        <v>2024</v>
      </c>
      <c r="M944" t="str">
        <f>TEXT(calls[[#This Row],[Date of Call]],"DDDD")</f>
        <v>الأحد</v>
      </c>
      <c r="N944" t="str" cm="1">
        <f t="array" ref="N944">_xlfn.IFS(calls[[#This Row],[Duration]]&lt;=10,"Under 10 mins", calls[[#This Row],[Duration]]&lt;=30, "10 to 30 mins", calls[[#This Row],[Duration]]&lt;=60, "30 to 60 mins", calls[[#This Row],[Duration]]&lt;=120, "1 to 2 hours", TRUE, "More than 2 hours")</f>
        <v>1 to 2 hours</v>
      </c>
      <c r="O944">
        <f>ROUND(calls[[#This Row],[Satisfaction Rating]],0)</f>
        <v>5</v>
      </c>
    </row>
    <row r="945" spans="2:15" x14ac:dyDescent="0.25">
      <c r="B945" t="s">
        <v>966</v>
      </c>
      <c r="C945" t="s">
        <v>21</v>
      </c>
      <c r="D945">
        <f>VLOOKUP(C945,customers[],3,0)</f>
        <v>25</v>
      </c>
      <c r="E945" t="str">
        <f>VLOOKUP(C945,customers[],2,0)</f>
        <v>Female</v>
      </c>
      <c r="F945" t="str">
        <f>VLOOKUP(C945,customers[],4,0)</f>
        <v>Columbus</v>
      </c>
      <c r="G945">
        <v>83</v>
      </c>
      <c r="H945" s="17" t="s">
        <v>8</v>
      </c>
      <c r="I945" s="18">
        <v>45257</v>
      </c>
      <c r="J945">
        <v>126</v>
      </c>
      <c r="K945">
        <v>1.5</v>
      </c>
      <c r="L945">
        <f>IF(MONTH(calls[[#This Row],[Date of Call]])&lt;=6, YEAR(calls[[#This Row],[Date of Call]]), YEAR(calls[[#This Row],[Date of Call]])+1)</f>
        <v>2024</v>
      </c>
      <c r="M945" t="str">
        <f>TEXT(calls[[#This Row],[Date of Call]],"DDDD")</f>
        <v>الإثنين</v>
      </c>
      <c r="N945" t="str" cm="1">
        <f t="array" ref="N945">_xlfn.IFS(calls[[#This Row],[Duration]]&lt;=10,"Under 10 mins", calls[[#This Row],[Duration]]&lt;=30, "10 to 30 mins", calls[[#This Row],[Duration]]&lt;=60, "30 to 60 mins", calls[[#This Row],[Duration]]&lt;=120, "1 to 2 hours", TRUE, "More than 2 hours")</f>
        <v>1 to 2 hours</v>
      </c>
      <c r="O945">
        <f>ROUND(calls[[#This Row],[Satisfaction Rating]],0)</f>
        <v>2</v>
      </c>
    </row>
    <row r="946" spans="2:15" x14ac:dyDescent="0.25">
      <c r="B946" t="s">
        <v>967</v>
      </c>
      <c r="C946" t="s">
        <v>22</v>
      </c>
      <c r="D946">
        <f>VLOOKUP(C946,customers[],3,0)</f>
        <v>37</v>
      </c>
      <c r="E946" t="str">
        <f>VLOOKUP(C946,customers[],2,0)</f>
        <v>Male</v>
      </c>
      <c r="F946" t="str">
        <f>VLOOKUP(C946,customers[],4,0)</f>
        <v>Columbus</v>
      </c>
      <c r="G946">
        <v>80</v>
      </c>
      <c r="H946" s="17" t="s">
        <v>9</v>
      </c>
      <c r="I946" s="18">
        <v>45258</v>
      </c>
      <c r="J946">
        <v>148</v>
      </c>
      <c r="K946">
        <v>4.0999999999999996</v>
      </c>
      <c r="L946">
        <f>IF(MONTH(calls[[#This Row],[Date of Call]])&lt;=6, YEAR(calls[[#This Row],[Date of Call]]), YEAR(calls[[#This Row],[Date of Call]])+1)</f>
        <v>2024</v>
      </c>
      <c r="M946" t="str">
        <f>TEXT(calls[[#This Row],[Date of Call]],"DDDD")</f>
        <v>الثلاثاء</v>
      </c>
      <c r="N946" t="str" cm="1">
        <f t="array" ref="N946">_xlfn.IFS(calls[[#This Row],[Duration]]&lt;=10,"Under 10 mins", calls[[#This Row],[Duration]]&lt;=30, "10 to 30 mins", calls[[#This Row],[Duration]]&lt;=60, "30 to 60 mins", calls[[#This Row],[Duration]]&lt;=120, "1 to 2 hours", TRUE, "More than 2 hours")</f>
        <v>1 to 2 hours</v>
      </c>
      <c r="O946">
        <f>ROUND(calls[[#This Row],[Satisfaction Rating]],0)</f>
        <v>4</v>
      </c>
    </row>
    <row r="947" spans="2:15" x14ac:dyDescent="0.25">
      <c r="B947" t="s">
        <v>968</v>
      </c>
      <c r="C947" t="s">
        <v>21</v>
      </c>
      <c r="D947">
        <f>VLOOKUP(C947,customers[],3,0)</f>
        <v>25</v>
      </c>
      <c r="E947" t="str">
        <f>VLOOKUP(C947,customers[],2,0)</f>
        <v>Female</v>
      </c>
      <c r="F947" t="str">
        <f>VLOOKUP(C947,customers[],4,0)</f>
        <v>Columbus</v>
      </c>
      <c r="G947">
        <v>152</v>
      </c>
      <c r="H947" s="17" t="s">
        <v>8</v>
      </c>
      <c r="I947" s="18">
        <v>45258</v>
      </c>
      <c r="J947">
        <v>125</v>
      </c>
      <c r="K947">
        <v>3.9</v>
      </c>
      <c r="L947">
        <f>IF(MONTH(calls[[#This Row],[Date of Call]])&lt;=6, YEAR(calls[[#This Row],[Date of Call]]), YEAR(calls[[#This Row],[Date of Call]])+1)</f>
        <v>2024</v>
      </c>
      <c r="M947" t="str">
        <f>TEXT(calls[[#This Row],[Date of Call]],"DDDD")</f>
        <v>الثلاثاء</v>
      </c>
      <c r="N947" t="str" cm="1">
        <f t="array" ref="N947">_xlfn.IFS(calls[[#This Row],[Duration]]&lt;=10,"Under 10 mins", calls[[#This Row],[Duration]]&lt;=30, "10 to 30 mins", calls[[#This Row],[Duration]]&lt;=60, "30 to 60 mins", calls[[#This Row],[Duration]]&lt;=120, "1 to 2 hours", TRUE, "More than 2 hours")</f>
        <v>More than 2 hours</v>
      </c>
      <c r="O947">
        <f>ROUND(calls[[#This Row],[Satisfaction Rating]],0)</f>
        <v>4</v>
      </c>
    </row>
    <row r="948" spans="2:15" x14ac:dyDescent="0.25">
      <c r="B948" t="s">
        <v>969</v>
      </c>
      <c r="C948" t="s">
        <v>17</v>
      </c>
      <c r="D948">
        <f>VLOOKUP(C948,customers[],3,0)</f>
        <v>30</v>
      </c>
      <c r="E948" t="str">
        <f>VLOOKUP(C948,customers[],2,0)</f>
        <v>Female</v>
      </c>
      <c r="F948" t="str">
        <f>VLOOKUP(C948,customers[],4,0)</f>
        <v>Cleveland</v>
      </c>
      <c r="G948">
        <v>34</v>
      </c>
      <c r="H948" s="17" t="s">
        <v>10</v>
      </c>
      <c r="I948" s="18">
        <v>45258</v>
      </c>
      <c r="J948">
        <v>25</v>
      </c>
      <c r="K948">
        <v>4.0999999999999996</v>
      </c>
      <c r="L948">
        <f>IF(MONTH(calls[[#This Row],[Date of Call]])&lt;=6, YEAR(calls[[#This Row],[Date of Call]]), YEAR(calls[[#This Row],[Date of Call]])+1)</f>
        <v>2024</v>
      </c>
      <c r="M948" t="str">
        <f>TEXT(calls[[#This Row],[Date of Call]],"DDDD")</f>
        <v>الثلاثاء</v>
      </c>
      <c r="N948" t="str" cm="1">
        <f t="array" ref="N948">_xlfn.IFS(calls[[#This Row],[Duration]]&lt;=10,"Under 10 mins", calls[[#This Row],[Duration]]&lt;=30, "10 to 30 mins", calls[[#This Row],[Duration]]&lt;=60, "30 to 60 mins", calls[[#This Row],[Duration]]&lt;=120, "1 to 2 hours", TRUE, "More than 2 hours")</f>
        <v>30 to 60 mins</v>
      </c>
      <c r="O948">
        <f>ROUND(calls[[#This Row],[Satisfaction Rating]],0)</f>
        <v>4</v>
      </c>
    </row>
    <row r="949" spans="2:15" x14ac:dyDescent="0.25">
      <c r="B949" t="s">
        <v>970</v>
      </c>
      <c r="C949" t="s">
        <v>13</v>
      </c>
      <c r="D949">
        <f>VLOOKUP(C949,customers[],3,0)</f>
        <v>37</v>
      </c>
      <c r="E949" t="str">
        <f>VLOOKUP(C949,customers[],2,0)</f>
        <v>Female</v>
      </c>
      <c r="F949" t="str">
        <f>VLOOKUP(C949,customers[],4,0)</f>
        <v>Cleveland</v>
      </c>
      <c r="G949">
        <v>2</v>
      </c>
      <c r="H949" s="17" t="s">
        <v>5</v>
      </c>
      <c r="I949" s="18">
        <v>45259</v>
      </c>
      <c r="J949">
        <v>62</v>
      </c>
      <c r="K949">
        <v>2.8</v>
      </c>
      <c r="L949">
        <f>IF(MONTH(calls[[#This Row],[Date of Call]])&lt;=6, YEAR(calls[[#This Row],[Date of Call]]), YEAR(calls[[#This Row],[Date of Call]])+1)</f>
        <v>2024</v>
      </c>
      <c r="M949" t="str">
        <f>TEXT(calls[[#This Row],[Date of Call]],"DDDD")</f>
        <v>الأربعاء</v>
      </c>
      <c r="N949" t="str" cm="1">
        <f t="array" ref="N949">_xlfn.IFS(calls[[#This Row],[Duration]]&lt;=10,"Under 10 mins", calls[[#This Row],[Duration]]&lt;=30, "10 to 30 mins", calls[[#This Row],[Duration]]&lt;=60, "30 to 60 mins", calls[[#This Row],[Duration]]&lt;=120, "1 to 2 hours", TRUE, "More than 2 hours")</f>
        <v>Under 10 mins</v>
      </c>
      <c r="O949">
        <f>ROUND(calls[[#This Row],[Satisfaction Rating]],0)</f>
        <v>3</v>
      </c>
    </row>
    <row r="950" spans="2:15" x14ac:dyDescent="0.25">
      <c r="B950" t="s">
        <v>971</v>
      </c>
      <c r="C950" t="s">
        <v>22</v>
      </c>
      <c r="D950">
        <f>VLOOKUP(C950,customers[],3,0)</f>
        <v>37</v>
      </c>
      <c r="E950" t="str">
        <f>VLOOKUP(C950,customers[],2,0)</f>
        <v>Male</v>
      </c>
      <c r="F950" t="str">
        <f>VLOOKUP(C950,customers[],4,0)</f>
        <v>Columbus</v>
      </c>
      <c r="G950">
        <v>140</v>
      </c>
      <c r="H950" s="17" t="s">
        <v>10</v>
      </c>
      <c r="I950" s="18">
        <v>45260</v>
      </c>
      <c r="J950">
        <v>90</v>
      </c>
      <c r="K950">
        <v>4.5999999999999996</v>
      </c>
      <c r="L950">
        <f>IF(MONTH(calls[[#This Row],[Date of Call]])&lt;=6, YEAR(calls[[#This Row],[Date of Call]]), YEAR(calls[[#This Row],[Date of Call]])+1)</f>
        <v>2024</v>
      </c>
      <c r="M950" t="str">
        <f>TEXT(calls[[#This Row],[Date of Call]],"DDDD")</f>
        <v>الخميس</v>
      </c>
      <c r="N950" t="str" cm="1">
        <f t="array" ref="N950">_xlfn.IFS(calls[[#This Row],[Duration]]&lt;=10,"Under 10 mins", calls[[#This Row],[Duration]]&lt;=30, "10 to 30 mins", calls[[#This Row],[Duration]]&lt;=60, "30 to 60 mins", calls[[#This Row],[Duration]]&lt;=120, "1 to 2 hours", TRUE, "More than 2 hours")</f>
        <v>More than 2 hours</v>
      </c>
      <c r="O950">
        <f>ROUND(calls[[#This Row],[Satisfaction Rating]],0)</f>
        <v>5</v>
      </c>
    </row>
    <row r="951" spans="2:15" x14ac:dyDescent="0.25">
      <c r="B951" t="s">
        <v>972</v>
      </c>
      <c r="C951" t="s">
        <v>11</v>
      </c>
      <c r="D951">
        <f>VLOOKUP(C951,customers[],3,0)</f>
        <v>36</v>
      </c>
      <c r="E951" t="str">
        <f>VLOOKUP(C951,customers[],2,0)</f>
        <v>Male</v>
      </c>
      <c r="F951" t="str">
        <f>VLOOKUP(C951,customers[],4,0)</f>
        <v>Cincinnati</v>
      </c>
      <c r="G951">
        <v>126</v>
      </c>
      <c r="H951" s="17" t="s">
        <v>12</v>
      </c>
      <c r="I951" s="18">
        <v>45261</v>
      </c>
      <c r="J951">
        <v>33</v>
      </c>
      <c r="K951">
        <v>4.8</v>
      </c>
      <c r="L951">
        <f>IF(MONTH(calls[[#This Row],[Date of Call]])&lt;=6, YEAR(calls[[#This Row],[Date of Call]]), YEAR(calls[[#This Row],[Date of Call]])+1)</f>
        <v>2024</v>
      </c>
      <c r="M951" t="str">
        <f>TEXT(calls[[#This Row],[Date of Call]],"DDDD")</f>
        <v>الجمعة</v>
      </c>
      <c r="N951" t="str" cm="1">
        <f t="array" ref="N951">_xlfn.IFS(calls[[#This Row],[Duration]]&lt;=10,"Under 10 mins", calls[[#This Row],[Duration]]&lt;=30, "10 to 30 mins", calls[[#This Row],[Duration]]&lt;=60, "30 to 60 mins", calls[[#This Row],[Duration]]&lt;=120, "1 to 2 hours", TRUE, "More than 2 hours")</f>
        <v>More than 2 hours</v>
      </c>
      <c r="O951">
        <f>ROUND(calls[[#This Row],[Satisfaction Rating]],0)</f>
        <v>5</v>
      </c>
    </row>
    <row r="952" spans="2:15" x14ac:dyDescent="0.25">
      <c r="B952" t="s">
        <v>973</v>
      </c>
      <c r="C952" t="s">
        <v>20</v>
      </c>
      <c r="D952">
        <f>VLOOKUP(C952,customers[],3,0)</f>
        <v>38</v>
      </c>
      <c r="E952" t="str">
        <f>VLOOKUP(C952,customers[],2,0)</f>
        <v>Female</v>
      </c>
      <c r="F952" t="str">
        <f>VLOOKUP(C952,customers[],4,0)</f>
        <v>Columbus</v>
      </c>
      <c r="G952">
        <v>79</v>
      </c>
      <c r="H952" s="17" t="s">
        <v>5</v>
      </c>
      <c r="I952" s="18">
        <v>45261</v>
      </c>
      <c r="J952">
        <v>115</v>
      </c>
      <c r="K952">
        <v>2.2999999999999998</v>
      </c>
      <c r="L952">
        <f>IF(MONTH(calls[[#This Row],[Date of Call]])&lt;=6, YEAR(calls[[#This Row],[Date of Call]]), YEAR(calls[[#This Row],[Date of Call]])+1)</f>
        <v>2024</v>
      </c>
      <c r="M952" t="str">
        <f>TEXT(calls[[#This Row],[Date of Call]],"DDDD")</f>
        <v>الجمعة</v>
      </c>
      <c r="N952" t="str" cm="1">
        <f t="array" ref="N952">_xlfn.IFS(calls[[#This Row],[Duration]]&lt;=10,"Under 10 mins", calls[[#This Row],[Duration]]&lt;=30, "10 to 30 mins", calls[[#This Row],[Duration]]&lt;=60, "30 to 60 mins", calls[[#This Row],[Duration]]&lt;=120, "1 to 2 hours", TRUE, "More than 2 hours")</f>
        <v>1 to 2 hours</v>
      </c>
      <c r="O952">
        <f>ROUND(calls[[#This Row],[Satisfaction Rating]],0)</f>
        <v>2</v>
      </c>
    </row>
    <row r="953" spans="2:15" x14ac:dyDescent="0.25">
      <c r="B953" t="s">
        <v>974</v>
      </c>
      <c r="C953" t="s">
        <v>11</v>
      </c>
      <c r="D953">
        <f>VLOOKUP(C953,customers[],3,0)</f>
        <v>36</v>
      </c>
      <c r="E953" t="str">
        <f>VLOOKUP(C953,customers[],2,0)</f>
        <v>Male</v>
      </c>
      <c r="F953" t="str">
        <f>VLOOKUP(C953,customers[],4,0)</f>
        <v>Cincinnati</v>
      </c>
      <c r="G953">
        <v>133</v>
      </c>
      <c r="H953" s="17" t="s">
        <v>12</v>
      </c>
      <c r="I953" s="18">
        <v>45261</v>
      </c>
      <c r="J953">
        <v>45</v>
      </c>
      <c r="K953">
        <v>2.6</v>
      </c>
      <c r="L953">
        <f>IF(MONTH(calls[[#This Row],[Date of Call]])&lt;=6, YEAR(calls[[#This Row],[Date of Call]]), YEAR(calls[[#This Row],[Date of Call]])+1)</f>
        <v>2024</v>
      </c>
      <c r="M953" t="str">
        <f>TEXT(calls[[#This Row],[Date of Call]],"DDDD")</f>
        <v>الجمعة</v>
      </c>
      <c r="N953" t="str" cm="1">
        <f t="array" ref="N953">_xlfn.IFS(calls[[#This Row],[Duration]]&lt;=10,"Under 10 mins", calls[[#This Row],[Duration]]&lt;=30, "10 to 30 mins", calls[[#This Row],[Duration]]&lt;=60, "30 to 60 mins", calls[[#This Row],[Duration]]&lt;=120, "1 to 2 hours", TRUE, "More than 2 hours")</f>
        <v>More than 2 hours</v>
      </c>
      <c r="O953">
        <f>ROUND(calls[[#This Row],[Satisfaction Rating]],0)</f>
        <v>3</v>
      </c>
    </row>
    <row r="954" spans="2:15" x14ac:dyDescent="0.25">
      <c r="B954" t="s">
        <v>975</v>
      </c>
      <c r="C954" t="s">
        <v>17</v>
      </c>
      <c r="D954">
        <f>VLOOKUP(C954,customers[],3,0)</f>
        <v>30</v>
      </c>
      <c r="E954" t="str">
        <f>VLOOKUP(C954,customers[],2,0)</f>
        <v>Female</v>
      </c>
      <c r="F954" t="str">
        <f>VLOOKUP(C954,customers[],4,0)</f>
        <v>Cleveland</v>
      </c>
      <c r="G954">
        <v>97</v>
      </c>
      <c r="H954" s="17" t="s">
        <v>9</v>
      </c>
      <c r="I954" s="18">
        <v>45261</v>
      </c>
      <c r="J954">
        <v>114</v>
      </c>
      <c r="K954">
        <v>4.8</v>
      </c>
      <c r="L954">
        <f>IF(MONTH(calls[[#This Row],[Date of Call]])&lt;=6, YEAR(calls[[#This Row],[Date of Call]]), YEAR(calls[[#This Row],[Date of Call]])+1)</f>
        <v>2024</v>
      </c>
      <c r="M954" t="str">
        <f>TEXT(calls[[#This Row],[Date of Call]],"DDDD")</f>
        <v>الجمعة</v>
      </c>
      <c r="N954" t="str" cm="1">
        <f t="array" ref="N954">_xlfn.IFS(calls[[#This Row],[Duration]]&lt;=10,"Under 10 mins", calls[[#This Row],[Duration]]&lt;=30, "10 to 30 mins", calls[[#This Row],[Duration]]&lt;=60, "30 to 60 mins", calls[[#This Row],[Duration]]&lt;=120, "1 to 2 hours", TRUE, "More than 2 hours")</f>
        <v>1 to 2 hours</v>
      </c>
      <c r="O954">
        <f>ROUND(calls[[#This Row],[Satisfaction Rating]],0)</f>
        <v>5</v>
      </c>
    </row>
    <row r="955" spans="2:15" x14ac:dyDescent="0.25">
      <c r="B955" t="s">
        <v>976</v>
      </c>
      <c r="C955" t="s">
        <v>20</v>
      </c>
      <c r="D955">
        <f>VLOOKUP(C955,customers[],3,0)</f>
        <v>38</v>
      </c>
      <c r="E955" t="str">
        <f>VLOOKUP(C955,customers[],2,0)</f>
        <v>Female</v>
      </c>
      <c r="F955" t="str">
        <f>VLOOKUP(C955,customers[],4,0)</f>
        <v>Columbus</v>
      </c>
      <c r="G955">
        <v>102</v>
      </c>
      <c r="H955" s="17" t="s">
        <v>8</v>
      </c>
      <c r="I955" s="18">
        <v>45262</v>
      </c>
      <c r="J955">
        <v>72</v>
      </c>
      <c r="K955">
        <v>3.7</v>
      </c>
      <c r="L955">
        <f>IF(MONTH(calls[[#This Row],[Date of Call]])&lt;=6, YEAR(calls[[#This Row],[Date of Call]]), YEAR(calls[[#This Row],[Date of Call]])+1)</f>
        <v>2024</v>
      </c>
      <c r="M955" t="str">
        <f>TEXT(calls[[#This Row],[Date of Call]],"DDDD")</f>
        <v>السبت</v>
      </c>
      <c r="N955" t="str" cm="1">
        <f t="array" ref="N955">_xlfn.IFS(calls[[#This Row],[Duration]]&lt;=10,"Under 10 mins", calls[[#This Row],[Duration]]&lt;=30, "10 to 30 mins", calls[[#This Row],[Duration]]&lt;=60, "30 to 60 mins", calls[[#This Row],[Duration]]&lt;=120, "1 to 2 hours", TRUE, "More than 2 hours")</f>
        <v>1 to 2 hours</v>
      </c>
      <c r="O955">
        <f>ROUND(calls[[#This Row],[Satisfaction Rating]],0)</f>
        <v>4</v>
      </c>
    </row>
    <row r="956" spans="2:15" x14ac:dyDescent="0.25">
      <c r="B956" t="s">
        <v>977</v>
      </c>
      <c r="C956" t="s">
        <v>6</v>
      </c>
      <c r="D956">
        <f>VLOOKUP(C956,customers[],3,0)</f>
        <v>23</v>
      </c>
      <c r="E956" t="str">
        <f>VLOOKUP(C956,customers[],2,0)</f>
        <v>Male</v>
      </c>
      <c r="F956" t="str">
        <f>VLOOKUP(C956,customers[],4,0)</f>
        <v>Columbus</v>
      </c>
      <c r="G956">
        <v>62</v>
      </c>
      <c r="H956" s="17" t="s">
        <v>9</v>
      </c>
      <c r="I956" s="18">
        <v>45262</v>
      </c>
      <c r="J956">
        <v>205</v>
      </c>
      <c r="K956">
        <v>4.2</v>
      </c>
      <c r="L956">
        <f>IF(MONTH(calls[[#This Row],[Date of Call]])&lt;=6, YEAR(calls[[#This Row],[Date of Call]]), YEAR(calls[[#This Row],[Date of Call]])+1)</f>
        <v>2024</v>
      </c>
      <c r="M956" t="str">
        <f>TEXT(calls[[#This Row],[Date of Call]],"DDDD")</f>
        <v>السبت</v>
      </c>
      <c r="N956" t="str" cm="1">
        <f t="array" ref="N956">_xlfn.IFS(calls[[#This Row],[Duration]]&lt;=10,"Under 10 mins", calls[[#This Row],[Duration]]&lt;=30, "10 to 30 mins", calls[[#This Row],[Duration]]&lt;=60, "30 to 60 mins", calls[[#This Row],[Duration]]&lt;=120, "1 to 2 hours", TRUE, "More than 2 hours")</f>
        <v>1 to 2 hours</v>
      </c>
      <c r="O956">
        <f>ROUND(calls[[#This Row],[Satisfaction Rating]],0)</f>
        <v>4</v>
      </c>
    </row>
    <row r="957" spans="2:15" x14ac:dyDescent="0.25">
      <c r="B957" t="s">
        <v>978</v>
      </c>
      <c r="C957" t="s">
        <v>11</v>
      </c>
      <c r="D957">
        <f>VLOOKUP(C957,customers[],3,0)</f>
        <v>36</v>
      </c>
      <c r="E957" t="str">
        <f>VLOOKUP(C957,customers[],2,0)</f>
        <v>Male</v>
      </c>
      <c r="F957" t="str">
        <f>VLOOKUP(C957,customers[],4,0)</f>
        <v>Cincinnati</v>
      </c>
      <c r="G957">
        <v>149</v>
      </c>
      <c r="H957" s="17" t="s">
        <v>8</v>
      </c>
      <c r="I957" s="18">
        <v>45263</v>
      </c>
      <c r="J957">
        <v>42</v>
      </c>
      <c r="K957">
        <v>3.3</v>
      </c>
      <c r="L957">
        <f>IF(MONTH(calls[[#This Row],[Date of Call]])&lt;=6, YEAR(calls[[#This Row],[Date of Call]]), YEAR(calls[[#This Row],[Date of Call]])+1)</f>
        <v>2024</v>
      </c>
      <c r="M957" t="str">
        <f>TEXT(calls[[#This Row],[Date of Call]],"DDDD")</f>
        <v>الأحد</v>
      </c>
      <c r="N957" t="str" cm="1">
        <f t="array" ref="N957">_xlfn.IFS(calls[[#This Row],[Duration]]&lt;=10,"Under 10 mins", calls[[#This Row],[Duration]]&lt;=30, "10 to 30 mins", calls[[#This Row],[Duration]]&lt;=60, "30 to 60 mins", calls[[#This Row],[Duration]]&lt;=120, "1 to 2 hours", TRUE, "More than 2 hours")</f>
        <v>More than 2 hours</v>
      </c>
      <c r="O957">
        <f>ROUND(calls[[#This Row],[Satisfaction Rating]],0)</f>
        <v>3</v>
      </c>
    </row>
    <row r="958" spans="2:15" x14ac:dyDescent="0.25">
      <c r="B958" t="s">
        <v>979</v>
      </c>
      <c r="C958" t="s">
        <v>13</v>
      </c>
      <c r="D958">
        <f>VLOOKUP(C958,customers[],3,0)</f>
        <v>37</v>
      </c>
      <c r="E958" t="str">
        <f>VLOOKUP(C958,customers[],2,0)</f>
        <v>Female</v>
      </c>
      <c r="F958" t="str">
        <f>VLOOKUP(C958,customers[],4,0)</f>
        <v>Cleveland</v>
      </c>
      <c r="G958">
        <v>133</v>
      </c>
      <c r="H958" s="17" t="s">
        <v>9</v>
      </c>
      <c r="I958" s="18">
        <v>45263</v>
      </c>
      <c r="J958">
        <v>96</v>
      </c>
      <c r="K958">
        <v>4.3</v>
      </c>
      <c r="L958">
        <f>IF(MONTH(calls[[#This Row],[Date of Call]])&lt;=6, YEAR(calls[[#This Row],[Date of Call]]), YEAR(calls[[#This Row],[Date of Call]])+1)</f>
        <v>2024</v>
      </c>
      <c r="M958" t="str">
        <f>TEXT(calls[[#This Row],[Date of Call]],"DDDD")</f>
        <v>الأحد</v>
      </c>
      <c r="N958" t="str" cm="1">
        <f t="array" ref="N958">_xlfn.IFS(calls[[#This Row],[Duration]]&lt;=10,"Under 10 mins", calls[[#This Row],[Duration]]&lt;=30, "10 to 30 mins", calls[[#This Row],[Duration]]&lt;=60, "30 to 60 mins", calls[[#This Row],[Duration]]&lt;=120, "1 to 2 hours", TRUE, "More than 2 hours")</f>
        <v>More than 2 hours</v>
      </c>
      <c r="O958">
        <f>ROUND(calls[[#This Row],[Satisfaction Rating]],0)</f>
        <v>4</v>
      </c>
    </row>
    <row r="959" spans="2:15" x14ac:dyDescent="0.25">
      <c r="B959" t="s">
        <v>980</v>
      </c>
      <c r="C959" t="s">
        <v>20</v>
      </c>
      <c r="D959">
        <f>VLOOKUP(C959,customers[],3,0)</f>
        <v>38</v>
      </c>
      <c r="E959" t="str">
        <f>VLOOKUP(C959,customers[],2,0)</f>
        <v>Female</v>
      </c>
      <c r="F959" t="str">
        <f>VLOOKUP(C959,customers[],4,0)</f>
        <v>Columbus</v>
      </c>
      <c r="G959">
        <v>51</v>
      </c>
      <c r="H959" s="17" t="s">
        <v>5</v>
      </c>
      <c r="I959" s="18">
        <v>45263</v>
      </c>
      <c r="J959">
        <v>64</v>
      </c>
      <c r="K959">
        <v>3.7</v>
      </c>
      <c r="L959">
        <f>IF(MONTH(calls[[#This Row],[Date of Call]])&lt;=6, YEAR(calls[[#This Row],[Date of Call]]), YEAR(calls[[#This Row],[Date of Call]])+1)</f>
        <v>2024</v>
      </c>
      <c r="M959" t="str">
        <f>TEXT(calls[[#This Row],[Date of Call]],"DDDD")</f>
        <v>الأحد</v>
      </c>
      <c r="N959" t="str" cm="1">
        <f t="array" ref="N959">_xlfn.IFS(calls[[#This Row],[Duration]]&lt;=10,"Under 10 mins", calls[[#This Row],[Duration]]&lt;=30, "10 to 30 mins", calls[[#This Row],[Duration]]&lt;=60, "30 to 60 mins", calls[[#This Row],[Duration]]&lt;=120, "1 to 2 hours", TRUE, "More than 2 hours")</f>
        <v>30 to 60 mins</v>
      </c>
      <c r="O959">
        <f>ROUND(calls[[#This Row],[Satisfaction Rating]],0)</f>
        <v>4</v>
      </c>
    </row>
    <row r="960" spans="2:15" x14ac:dyDescent="0.25">
      <c r="B960" t="s">
        <v>981</v>
      </c>
      <c r="C960" t="s">
        <v>6</v>
      </c>
      <c r="D960">
        <f>VLOOKUP(C960,customers[],3,0)</f>
        <v>23</v>
      </c>
      <c r="E960" t="str">
        <f>VLOOKUP(C960,customers[],2,0)</f>
        <v>Male</v>
      </c>
      <c r="F960" t="str">
        <f>VLOOKUP(C960,customers[],4,0)</f>
        <v>Columbus</v>
      </c>
      <c r="G960">
        <v>110</v>
      </c>
      <c r="H960" s="17" t="s">
        <v>9</v>
      </c>
      <c r="I960" s="18">
        <v>45264</v>
      </c>
      <c r="J960">
        <v>72</v>
      </c>
      <c r="K960">
        <v>3.7</v>
      </c>
      <c r="L960">
        <f>IF(MONTH(calls[[#This Row],[Date of Call]])&lt;=6, YEAR(calls[[#This Row],[Date of Call]]), YEAR(calls[[#This Row],[Date of Call]])+1)</f>
        <v>2024</v>
      </c>
      <c r="M960" t="str">
        <f>TEXT(calls[[#This Row],[Date of Call]],"DDDD")</f>
        <v>الإثنين</v>
      </c>
      <c r="N960" t="str" cm="1">
        <f t="array" ref="N960">_xlfn.IFS(calls[[#This Row],[Duration]]&lt;=10,"Under 10 mins", calls[[#This Row],[Duration]]&lt;=30, "10 to 30 mins", calls[[#This Row],[Duration]]&lt;=60, "30 to 60 mins", calls[[#This Row],[Duration]]&lt;=120, "1 to 2 hours", TRUE, "More than 2 hours")</f>
        <v>1 to 2 hours</v>
      </c>
      <c r="O960">
        <f>ROUND(calls[[#This Row],[Satisfaction Rating]],0)</f>
        <v>4</v>
      </c>
    </row>
    <row r="961" spans="2:15" x14ac:dyDescent="0.25">
      <c r="B961" t="s">
        <v>982</v>
      </c>
      <c r="C961" t="s">
        <v>17</v>
      </c>
      <c r="D961">
        <f>VLOOKUP(C961,customers[],3,0)</f>
        <v>30</v>
      </c>
      <c r="E961" t="str">
        <f>VLOOKUP(C961,customers[],2,0)</f>
        <v>Female</v>
      </c>
      <c r="F961" t="str">
        <f>VLOOKUP(C961,customers[],4,0)</f>
        <v>Cleveland</v>
      </c>
      <c r="G961">
        <v>38</v>
      </c>
      <c r="H961" s="17" t="s">
        <v>12</v>
      </c>
      <c r="I961" s="18">
        <v>45265</v>
      </c>
      <c r="J961">
        <v>27</v>
      </c>
      <c r="K961">
        <v>3.1</v>
      </c>
      <c r="L961">
        <f>IF(MONTH(calls[[#This Row],[Date of Call]])&lt;=6, YEAR(calls[[#This Row],[Date of Call]]), YEAR(calls[[#This Row],[Date of Call]])+1)</f>
        <v>2024</v>
      </c>
      <c r="M961" t="str">
        <f>TEXT(calls[[#This Row],[Date of Call]],"DDDD")</f>
        <v>الثلاثاء</v>
      </c>
      <c r="N961" t="str" cm="1">
        <f t="array" ref="N961">_xlfn.IFS(calls[[#This Row],[Duration]]&lt;=10,"Under 10 mins", calls[[#This Row],[Duration]]&lt;=30, "10 to 30 mins", calls[[#This Row],[Duration]]&lt;=60, "30 to 60 mins", calls[[#This Row],[Duration]]&lt;=120, "1 to 2 hours", TRUE, "More than 2 hours")</f>
        <v>30 to 60 mins</v>
      </c>
      <c r="O961">
        <f>ROUND(calls[[#This Row],[Satisfaction Rating]],0)</f>
        <v>3</v>
      </c>
    </row>
    <row r="962" spans="2:15" x14ac:dyDescent="0.25">
      <c r="B962" t="s">
        <v>983</v>
      </c>
      <c r="C962" t="s">
        <v>13</v>
      </c>
      <c r="D962">
        <f>VLOOKUP(C962,customers[],3,0)</f>
        <v>37</v>
      </c>
      <c r="E962" t="str">
        <f>VLOOKUP(C962,customers[],2,0)</f>
        <v>Female</v>
      </c>
      <c r="F962" t="str">
        <f>VLOOKUP(C962,customers[],4,0)</f>
        <v>Cleveland</v>
      </c>
      <c r="G962">
        <v>78</v>
      </c>
      <c r="H962" s="17" t="s">
        <v>12</v>
      </c>
      <c r="I962" s="18">
        <v>45267</v>
      </c>
      <c r="J962">
        <v>200</v>
      </c>
      <c r="K962">
        <v>2.4</v>
      </c>
      <c r="L962">
        <f>IF(MONTH(calls[[#This Row],[Date of Call]])&lt;=6, YEAR(calls[[#This Row],[Date of Call]]), YEAR(calls[[#This Row],[Date of Call]])+1)</f>
        <v>2024</v>
      </c>
      <c r="M962" t="str">
        <f>TEXT(calls[[#This Row],[Date of Call]],"DDDD")</f>
        <v>الخميس</v>
      </c>
      <c r="N962" t="str" cm="1">
        <f t="array" ref="N962">_xlfn.IFS(calls[[#This Row],[Duration]]&lt;=10,"Under 10 mins", calls[[#This Row],[Duration]]&lt;=30, "10 to 30 mins", calls[[#This Row],[Duration]]&lt;=60, "30 to 60 mins", calls[[#This Row],[Duration]]&lt;=120, "1 to 2 hours", TRUE, "More than 2 hours")</f>
        <v>1 to 2 hours</v>
      </c>
      <c r="O962">
        <f>ROUND(calls[[#This Row],[Satisfaction Rating]],0)</f>
        <v>2</v>
      </c>
    </row>
    <row r="963" spans="2:15" x14ac:dyDescent="0.25">
      <c r="B963" t="s">
        <v>984</v>
      </c>
      <c r="C963" t="s">
        <v>17</v>
      </c>
      <c r="D963">
        <f>VLOOKUP(C963,customers[],3,0)</f>
        <v>30</v>
      </c>
      <c r="E963" t="str">
        <f>VLOOKUP(C963,customers[],2,0)</f>
        <v>Female</v>
      </c>
      <c r="F963" t="str">
        <f>VLOOKUP(C963,customers[],4,0)</f>
        <v>Cleveland</v>
      </c>
      <c r="G963">
        <v>25</v>
      </c>
      <c r="H963" s="17" t="s">
        <v>8</v>
      </c>
      <c r="I963" s="18">
        <v>45268</v>
      </c>
      <c r="J963">
        <v>93</v>
      </c>
      <c r="K963">
        <v>3.5</v>
      </c>
      <c r="L963">
        <f>IF(MONTH(calls[[#This Row],[Date of Call]])&lt;=6, YEAR(calls[[#This Row],[Date of Call]]), YEAR(calls[[#This Row],[Date of Call]])+1)</f>
        <v>2024</v>
      </c>
      <c r="M963" t="str">
        <f>TEXT(calls[[#This Row],[Date of Call]],"DDDD")</f>
        <v>الجمعة</v>
      </c>
      <c r="N963" t="str" cm="1">
        <f t="array" ref="N963">_xlfn.IFS(calls[[#This Row],[Duration]]&lt;=10,"Under 10 mins", calls[[#This Row],[Duration]]&lt;=30, "10 to 30 mins", calls[[#This Row],[Duration]]&lt;=60, "30 to 60 mins", calls[[#This Row],[Duration]]&lt;=120, "1 to 2 hours", TRUE, "More than 2 hours")</f>
        <v>10 to 30 mins</v>
      </c>
      <c r="O963">
        <f>ROUND(calls[[#This Row],[Satisfaction Rating]],0)</f>
        <v>4</v>
      </c>
    </row>
    <row r="964" spans="2:15" x14ac:dyDescent="0.25">
      <c r="B964" t="s">
        <v>985</v>
      </c>
      <c r="C964" t="s">
        <v>15</v>
      </c>
      <c r="D964">
        <f>VLOOKUP(C964,customers[],3,0)</f>
        <v>28</v>
      </c>
      <c r="E964" t="str">
        <f>VLOOKUP(C964,customers[],2,0)</f>
        <v>Female</v>
      </c>
      <c r="F964" t="str">
        <f>VLOOKUP(C964,customers[],4,0)</f>
        <v>Cincinnati</v>
      </c>
      <c r="G964">
        <v>50</v>
      </c>
      <c r="H964" s="17" t="s">
        <v>5</v>
      </c>
      <c r="I964" s="18">
        <v>45268</v>
      </c>
      <c r="J964">
        <v>54</v>
      </c>
      <c r="K964">
        <v>4.3</v>
      </c>
      <c r="L964">
        <f>IF(MONTH(calls[[#This Row],[Date of Call]])&lt;=6, YEAR(calls[[#This Row],[Date of Call]]), YEAR(calls[[#This Row],[Date of Call]])+1)</f>
        <v>2024</v>
      </c>
      <c r="M964" t="str">
        <f>TEXT(calls[[#This Row],[Date of Call]],"DDDD")</f>
        <v>الجمعة</v>
      </c>
      <c r="N964" t="str" cm="1">
        <f t="array" ref="N964">_xlfn.IFS(calls[[#This Row],[Duration]]&lt;=10,"Under 10 mins", calls[[#This Row],[Duration]]&lt;=30, "10 to 30 mins", calls[[#This Row],[Duration]]&lt;=60, "30 to 60 mins", calls[[#This Row],[Duration]]&lt;=120, "1 to 2 hours", TRUE, "More than 2 hours")</f>
        <v>30 to 60 mins</v>
      </c>
      <c r="O964">
        <f>ROUND(calls[[#This Row],[Satisfaction Rating]],0)</f>
        <v>4</v>
      </c>
    </row>
    <row r="965" spans="2:15" x14ac:dyDescent="0.25">
      <c r="B965" t="s">
        <v>986</v>
      </c>
      <c r="C965" t="s">
        <v>17</v>
      </c>
      <c r="D965">
        <f>VLOOKUP(C965,customers[],3,0)</f>
        <v>30</v>
      </c>
      <c r="E965" t="str">
        <f>VLOOKUP(C965,customers[],2,0)</f>
        <v>Female</v>
      </c>
      <c r="F965" t="str">
        <f>VLOOKUP(C965,customers[],4,0)</f>
        <v>Cleveland</v>
      </c>
      <c r="G965">
        <v>103</v>
      </c>
      <c r="H965" s="17" t="s">
        <v>8</v>
      </c>
      <c r="I965" s="18">
        <v>45269</v>
      </c>
      <c r="J965">
        <v>72</v>
      </c>
      <c r="K965">
        <v>3.4</v>
      </c>
      <c r="L965">
        <f>IF(MONTH(calls[[#This Row],[Date of Call]])&lt;=6, YEAR(calls[[#This Row],[Date of Call]]), YEAR(calls[[#This Row],[Date of Call]])+1)</f>
        <v>2024</v>
      </c>
      <c r="M965" t="str">
        <f>TEXT(calls[[#This Row],[Date of Call]],"DDDD")</f>
        <v>السبت</v>
      </c>
      <c r="N965" t="str" cm="1">
        <f t="array" ref="N965">_xlfn.IFS(calls[[#This Row],[Duration]]&lt;=10,"Under 10 mins", calls[[#This Row],[Duration]]&lt;=30, "10 to 30 mins", calls[[#This Row],[Duration]]&lt;=60, "30 to 60 mins", calls[[#This Row],[Duration]]&lt;=120, "1 to 2 hours", TRUE, "More than 2 hours")</f>
        <v>1 to 2 hours</v>
      </c>
      <c r="O965">
        <f>ROUND(calls[[#This Row],[Satisfaction Rating]],0)</f>
        <v>3</v>
      </c>
    </row>
    <row r="966" spans="2:15" x14ac:dyDescent="0.25">
      <c r="B966" t="s">
        <v>987</v>
      </c>
      <c r="C966" t="s">
        <v>21</v>
      </c>
      <c r="D966">
        <f>VLOOKUP(C966,customers[],3,0)</f>
        <v>25</v>
      </c>
      <c r="E966" t="str">
        <f>VLOOKUP(C966,customers[],2,0)</f>
        <v>Female</v>
      </c>
      <c r="F966" t="str">
        <f>VLOOKUP(C966,customers[],4,0)</f>
        <v>Columbus</v>
      </c>
      <c r="G966">
        <v>63</v>
      </c>
      <c r="H966" s="17" t="s">
        <v>10</v>
      </c>
      <c r="I966" s="18">
        <v>45269</v>
      </c>
      <c r="J966">
        <v>82</v>
      </c>
      <c r="K966">
        <v>3.7</v>
      </c>
      <c r="L966">
        <f>IF(MONTH(calls[[#This Row],[Date of Call]])&lt;=6, YEAR(calls[[#This Row],[Date of Call]]), YEAR(calls[[#This Row],[Date of Call]])+1)</f>
        <v>2024</v>
      </c>
      <c r="M966" t="str">
        <f>TEXT(calls[[#This Row],[Date of Call]],"DDDD")</f>
        <v>السبت</v>
      </c>
      <c r="N966" t="str" cm="1">
        <f t="array" ref="N966">_xlfn.IFS(calls[[#This Row],[Duration]]&lt;=10,"Under 10 mins", calls[[#This Row],[Duration]]&lt;=30, "10 to 30 mins", calls[[#This Row],[Duration]]&lt;=60, "30 to 60 mins", calls[[#This Row],[Duration]]&lt;=120, "1 to 2 hours", TRUE, "More than 2 hours")</f>
        <v>1 to 2 hours</v>
      </c>
      <c r="O966">
        <f>ROUND(calls[[#This Row],[Satisfaction Rating]],0)</f>
        <v>4</v>
      </c>
    </row>
    <row r="967" spans="2:15" x14ac:dyDescent="0.25">
      <c r="B967" t="s">
        <v>988</v>
      </c>
      <c r="C967" t="s">
        <v>15</v>
      </c>
      <c r="D967">
        <f>VLOOKUP(C967,customers[],3,0)</f>
        <v>28</v>
      </c>
      <c r="E967" t="str">
        <f>VLOOKUP(C967,customers[],2,0)</f>
        <v>Female</v>
      </c>
      <c r="F967" t="str">
        <f>VLOOKUP(C967,customers[],4,0)</f>
        <v>Cincinnati</v>
      </c>
      <c r="G967">
        <v>96</v>
      </c>
      <c r="H967" s="17" t="s">
        <v>5</v>
      </c>
      <c r="I967" s="18">
        <v>45273</v>
      </c>
      <c r="J967">
        <v>164</v>
      </c>
      <c r="K967">
        <v>4.8</v>
      </c>
      <c r="L967">
        <f>IF(MONTH(calls[[#This Row],[Date of Call]])&lt;=6, YEAR(calls[[#This Row],[Date of Call]]), YEAR(calls[[#This Row],[Date of Call]])+1)</f>
        <v>2024</v>
      </c>
      <c r="M967" t="str">
        <f>TEXT(calls[[#This Row],[Date of Call]],"DDDD")</f>
        <v>الأربعاء</v>
      </c>
      <c r="N967" t="str" cm="1">
        <f t="array" ref="N967">_xlfn.IFS(calls[[#This Row],[Duration]]&lt;=10,"Under 10 mins", calls[[#This Row],[Duration]]&lt;=30, "10 to 30 mins", calls[[#This Row],[Duration]]&lt;=60, "30 to 60 mins", calls[[#This Row],[Duration]]&lt;=120, "1 to 2 hours", TRUE, "More than 2 hours")</f>
        <v>1 to 2 hours</v>
      </c>
      <c r="O967">
        <f>ROUND(calls[[#This Row],[Satisfaction Rating]],0)</f>
        <v>5</v>
      </c>
    </row>
    <row r="968" spans="2:15" x14ac:dyDescent="0.25">
      <c r="B968" t="s">
        <v>989</v>
      </c>
      <c r="C968" t="s">
        <v>22</v>
      </c>
      <c r="D968">
        <f>VLOOKUP(C968,customers[],3,0)</f>
        <v>37</v>
      </c>
      <c r="E968" t="str">
        <f>VLOOKUP(C968,customers[],2,0)</f>
        <v>Male</v>
      </c>
      <c r="F968" t="str">
        <f>VLOOKUP(C968,customers[],4,0)</f>
        <v>Columbus</v>
      </c>
      <c r="G968">
        <v>94</v>
      </c>
      <c r="H968" s="17" t="s">
        <v>8</v>
      </c>
      <c r="I968" s="18">
        <v>45273</v>
      </c>
      <c r="J968">
        <v>78</v>
      </c>
      <c r="K968">
        <v>3.3</v>
      </c>
      <c r="L968">
        <f>IF(MONTH(calls[[#This Row],[Date of Call]])&lt;=6, YEAR(calls[[#This Row],[Date of Call]]), YEAR(calls[[#This Row],[Date of Call]])+1)</f>
        <v>2024</v>
      </c>
      <c r="M968" t="str">
        <f>TEXT(calls[[#This Row],[Date of Call]],"DDDD")</f>
        <v>الأربعاء</v>
      </c>
      <c r="N968" t="str" cm="1">
        <f t="array" ref="N968">_xlfn.IFS(calls[[#This Row],[Duration]]&lt;=10,"Under 10 mins", calls[[#This Row],[Duration]]&lt;=30, "10 to 30 mins", calls[[#This Row],[Duration]]&lt;=60, "30 to 60 mins", calls[[#This Row],[Duration]]&lt;=120, "1 to 2 hours", TRUE, "More than 2 hours")</f>
        <v>1 to 2 hours</v>
      </c>
      <c r="O968">
        <f>ROUND(calls[[#This Row],[Satisfaction Rating]],0)</f>
        <v>3</v>
      </c>
    </row>
    <row r="969" spans="2:15" x14ac:dyDescent="0.25">
      <c r="B969" t="s">
        <v>990</v>
      </c>
      <c r="C969" t="s">
        <v>6</v>
      </c>
      <c r="D969">
        <f>VLOOKUP(C969,customers[],3,0)</f>
        <v>23</v>
      </c>
      <c r="E969" t="str">
        <f>VLOOKUP(C969,customers[],2,0)</f>
        <v>Male</v>
      </c>
      <c r="F969" t="str">
        <f>VLOOKUP(C969,customers[],4,0)</f>
        <v>Columbus</v>
      </c>
      <c r="G969">
        <v>46</v>
      </c>
      <c r="H969" s="17" t="s">
        <v>12</v>
      </c>
      <c r="I969" s="18">
        <v>45274</v>
      </c>
      <c r="J969">
        <v>135</v>
      </c>
      <c r="K969">
        <v>4.2</v>
      </c>
      <c r="L969">
        <f>IF(MONTH(calls[[#This Row],[Date of Call]])&lt;=6, YEAR(calls[[#This Row],[Date of Call]]), YEAR(calls[[#This Row],[Date of Call]])+1)</f>
        <v>2024</v>
      </c>
      <c r="M969" t="str">
        <f>TEXT(calls[[#This Row],[Date of Call]],"DDDD")</f>
        <v>الخميس</v>
      </c>
      <c r="N969" t="str" cm="1">
        <f t="array" ref="N969">_xlfn.IFS(calls[[#This Row],[Duration]]&lt;=10,"Under 10 mins", calls[[#This Row],[Duration]]&lt;=30, "10 to 30 mins", calls[[#This Row],[Duration]]&lt;=60, "30 to 60 mins", calls[[#This Row],[Duration]]&lt;=120, "1 to 2 hours", TRUE, "More than 2 hours")</f>
        <v>30 to 60 mins</v>
      </c>
      <c r="O969">
        <f>ROUND(calls[[#This Row],[Satisfaction Rating]],0)</f>
        <v>4</v>
      </c>
    </row>
    <row r="970" spans="2:15" x14ac:dyDescent="0.25">
      <c r="B970" t="s">
        <v>991</v>
      </c>
      <c r="C970" t="s">
        <v>4</v>
      </c>
      <c r="D970">
        <f>VLOOKUP(C970,customers[],3,0)</f>
        <v>42</v>
      </c>
      <c r="E970" t="str">
        <f>VLOOKUP(C970,customers[],2,0)</f>
        <v>Female</v>
      </c>
      <c r="F970" t="str">
        <f>VLOOKUP(C970,customers[],4,0)</f>
        <v>Cleveland</v>
      </c>
      <c r="G970">
        <v>127</v>
      </c>
      <c r="H970" s="17" t="s">
        <v>5</v>
      </c>
      <c r="I970" s="18">
        <v>45275</v>
      </c>
      <c r="J970">
        <v>145</v>
      </c>
      <c r="K970">
        <v>2.6</v>
      </c>
      <c r="L970">
        <f>IF(MONTH(calls[[#This Row],[Date of Call]])&lt;=6, YEAR(calls[[#This Row],[Date of Call]]), YEAR(calls[[#This Row],[Date of Call]])+1)</f>
        <v>2024</v>
      </c>
      <c r="M970" t="str">
        <f>TEXT(calls[[#This Row],[Date of Call]],"DDDD")</f>
        <v>الجمعة</v>
      </c>
      <c r="N970" t="str" cm="1">
        <f t="array" ref="N970">_xlfn.IFS(calls[[#This Row],[Duration]]&lt;=10,"Under 10 mins", calls[[#This Row],[Duration]]&lt;=30, "10 to 30 mins", calls[[#This Row],[Duration]]&lt;=60, "30 to 60 mins", calls[[#This Row],[Duration]]&lt;=120, "1 to 2 hours", TRUE, "More than 2 hours")</f>
        <v>More than 2 hours</v>
      </c>
      <c r="O970">
        <f>ROUND(calls[[#This Row],[Satisfaction Rating]],0)</f>
        <v>3</v>
      </c>
    </row>
    <row r="971" spans="2:15" x14ac:dyDescent="0.25">
      <c r="B971" t="s">
        <v>992</v>
      </c>
      <c r="C971" t="s">
        <v>14</v>
      </c>
      <c r="D971">
        <f>VLOOKUP(C971,customers[],3,0)</f>
        <v>22</v>
      </c>
      <c r="E971" t="str">
        <f>VLOOKUP(C971,customers[],2,0)</f>
        <v>Female</v>
      </c>
      <c r="F971" t="str">
        <f>VLOOKUP(C971,customers[],4,0)</f>
        <v>Cleveland</v>
      </c>
      <c r="G971">
        <v>96</v>
      </c>
      <c r="H971" s="17" t="s">
        <v>12</v>
      </c>
      <c r="I971" s="18">
        <v>45275</v>
      </c>
      <c r="J971">
        <v>115</v>
      </c>
      <c r="K971">
        <v>4.9000000000000004</v>
      </c>
      <c r="L971">
        <f>IF(MONTH(calls[[#This Row],[Date of Call]])&lt;=6, YEAR(calls[[#This Row],[Date of Call]]), YEAR(calls[[#This Row],[Date of Call]])+1)</f>
        <v>2024</v>
      </c>
      <c r="M971" t="str">
        <f>TEXT(calls[[#This Row],[Date of Call]],"DDDD")</f>
        <v>الجمعة</v>
      </c>
      <c r="N971" t="str" cm="1">
        <f t="array" ref="N971">_xlfn.IFS(calls[[#This Row],[Duration]]&lt;=10,"Under 10 mins", calls[[#This Row],[Duration]]&lt;=30, "10 to 30 mins", calls[[#This Row],[Duration]]&lt;=60, "30 to 60 mins", calls[[#This Row],[Duration]]&lt;=120, "1 to 2 hours", TRUE, "More than 2 hours")</f>
        <v>1 to 2 hours</v>
      </c>
      <c r="O971">
        <f>ROUND(calls[[#This Row],[Satisfaction Rating]],0)</f>
        <v>5</v>
      </c>
    </row>
    <row r="972" spans="2:15" x14ac:dyDescent="0.25">
      <c r="B972" t="s">
        <v>1003</v>
      </c>
      <c r="C972" t="s">
        <v>16</v>
      </c>
      <c r="D972">
        <f>VLOOKUP(C972,customers[],3,0)</f>
        <v>41</v>
      </c>
      <c r="E972" t="str">
        <f>VLOOKUP(C972,customers[],2,0)</f>
        <v>Male</v>
      </c>
      <c r="F972" t="str">
        <f>VLOOKUP(C972,customers[],4,0)</f>
        <v>Columbus</v>
      </c>
      <c r="G972">
        <v>151</v>
      </c>
      <c r="H972" s="17" t="s">
        <v>8</v>
      </c>
      <c r="I972" s="18">
        <v>45275</v>
      </c>
      <c r="J972">
        <v>117</v>
      </c>
      <c r="K972">
        <v>2</v>
      </c>
      <c r="L972">
        <f>IF(MONTH(calls[[#This Row],[Date of Call]])&lt;=6, YEAR(calls[[#This Row],[Date of Call]]), YEAR(calls[[#This Row],[Date of Call]])+1)</f>
        <v>2024</v>
      </c>
      <c r="M972" t="str">
        <f>TEXT(calls[[#This Row],[Date of Call]],"DDDD")</f>
        <v>الجمعة</v>
      </c>
      <c r="N972" t="str" cm="1">
        <f t="array" ref="N972">_xlfn.IFS(calls[[#This Row],[Duration]]&lt;=10,"Under 10 mins", calls[[#This Row],[Duration]]&lt;=30, "10 to 30 mins", calls[[#This Row],[Duration]]&lt;=60, "30 to 60 mins", calls[[#This Row],[Duration]]&lt;=120, "1 to 2 hours", TRUE, "More than 2 hours")</f>
        <v>More than 2 hours</v>
      </c>
      <c r="O972">
        <f>ROUND(calls[[#This Row],[Satisfaction Rating]],0)</f>
        <v>2</v>
      </c>
    </row>
    <row r="973" spans="2:15" x14ac:dyDescent="0.25">
      <c r="B973" t="s">
        <v>1004</v>
      </c>
      <c r="C973" t="s">
        <v>4</v>
      </c>
      <c r="D973">
        <f>VLOOKUP(C973,customers[],3,0)</f>
        <v>42</v>
      </c>
      <c r="E973" t="str">
        <f>VLOOKUP(C973,customers[],2,0)</f>
        <v>Female</v>
      </c>
      <c r="F973" t="str">
        <f>VLOOKUP(C973,customers[],4,0)</f>
        <v>Cleveland</v>
      </c>
      <c r="G973">
        <v>158</v>
      </c>
      <c r="H973" s="17" t="s">
        <v>9</v>
      </c>
      <c r="I973" s="18">
        <v>45276</v>
      </c>
      <c r="J973">
        <v>36</v>
      </c>
      <c r="K973">
        <v>4.7</v>
      </c>
      <c r="L973">
        <f>IF(MONTH(calls[[#This Row],[Date of Call]])&lt;=6, YEAR(calls[[#This Row],[Date of Call]]), YEAR(calls[[#This Row],[Date of Call]])+1)</f>
        <v>2024</v>
      </c>
      <c r="M973" t="str">
        <f>TEXT(calls[[#This Row],[Date of Call]],"DDDD")</f>
        <v>السبت</v>
      </c>
      <c r="N973" t="str" cm="1">
        <f t="array" ref="N973">_xlfn.IFS(calls[[#This Row],[Duration]]&lt;=10,"Under 10 mins", calls[[#This Row],[Duration]]&lt;=30, "10 to 30 mins", calls[[#This Row],[Duration]]&lt;=60, "30 to 60 mins", calls[[#This Row],[Duration]]&lt;=120, "1 to 2 hours", TRUE, "More than 2 hours")</f>
        <v>More than 2 hours</v>
      </c>
      <c r="O973">
        <f>ROUND(calls[[#This Row],[Satisfaction Rating]],0)</f>
        <v>5</v>
      </c>
    </row>
    <row r="974" spans="2:15" x14ac:dyDescent="0.25">
      <c r="B974" t="s">
        <v>1005</v>
      </c>
      <c r="C974" t="s">
        <v>22</v>
      </c>
      <c r="D974">
        <f>VLOOKUP(C974,customers[],3,0)</f>
        <v>37</v>
      </c>
      <c r="E974" t="str">
        <f>VLOOKUP(C974,customers[],2,0)</f>
        <v>Male</v>
      </c>
      <c r="F974" t="str">
        <f>VLOOKUP(C974,customers[],4,0)</f>
        <v>Columbus</v>
      </c>
      <c r="G974">
        <v>45</v>
      </c>
      <c r="H974" s="17" t="s">
        <v>9</v>
      </c>
      <c r="I974" s="18">
        <v>45276</v>
      </c>
      <c r="J974">
        <v>84</v>
      </c>
      <c r="K974">
        <v>2.8</v>
      </c>
      <c r="L974">
        <f>IF(MONTH(calls[[#This Row],[Date of Call]])&lt;=6, YEAR(calls[[#This Row],[Date of Call]]), YEAR(calls[[#This Row],[Date of Call]])+1)</f>
        <v>2024</v>
      </c>
      <c r="M974" t="str">
        <f>TEXT(calls[[#This Row],[Date of Call]],"DDDD")</f>
        <v>السبت</v>
      </c>
      <c r="N974" t="str" cm="1">
        <f t="array" ref="N974">_xlfn.IFS(calls[[#This Row],[Duration]]&lt;=10,"Under 10 mins", calls[[#This Row],[Duration]]&lt;=30, "10 to 30 mins", calls[[#This Row],[Duration]]&lt;=60, "30 to 60 mins", calls[[#This Row],[Duration]]&lt;=120, "1 to 2 hours", TRUE, "More than 2 hours")</f>
        <v>30 to 60 mins</v>
      </c>
      <c r="O974">
        <f>ROUND(calls[[#This Row],[Satisfaction Rating]],0)</f>
        <v>3</v>
      </c>
    </row>
    <row r="975" spans="2:15" x14ac:dyDescent="0.25">
      <c r="B975" t="s">
        <v>1006</v>
      </c>
      <c r="C975" t="s">
        <v>23</v>
      </c>
      <c r="D975">
        <f>VLOOKUP(C975,customers[],3,0)</f>
        <v>31</v>
      </c>
      <c r="E975" t="str">
        <f>VLOOKUP(C975,customers[],2,0)</f>
        <v>Male</v>
      </c>
      <c r="F975" t="str">
        <f>VLOOKUP(C975,customers[],4,0)</f>
        <v>Cleveland</v>
      </c>
      <c r="G975">
        <v>141</v>
      </c>
      <c r="H975" s="17" t="s">
        <v>9</v>
      </c>
      <c r="I975" s="18">
        <v>45276</v>
      </c>
      <c r="J975">
        <v>66</v>
      </c>
      <c r="K975">
        <v>3.2</v>
      </c>
      <c r="L975">
        <f>IF(MONTH(calls[[#This Row],[Date of Call]])&lt;=6, YEAR(calls[[#This Row],[Date of Call]]), YEAR(calls[[#This Row],[Date of Call]])+1)</f>
        <v>2024</v>
      </c>
      <c r="M975" t="str">
        <f>TEXT(calls[[#This Row],[Date of Call]],"DDDD")</f>
        <v>السبت</v>
      </c>
      <c r="N975" t="str" cm="1">
        <f t="array" ref="N975">_xlfn.IFS(calls[[#This Row],[Duration]]&lt;=10,"Under 10 mins", calls[[#This Row],[Duration]]&lt;=30, "10 to 30 mins", calls[[#This Row],[Duration]]&lt;=60, "30 to 60 mins", calls[[#This Row],[Duration]]&lt;=120, "1 to 2 hours", TRUE, "More than 2 hours")</f>
        <v>More than 2 hours</v>
      </c>
      <c r="O975">
        <f>ROUND(calls[[#This Row],[Satisfaction Rating]],0)</f>
        <v>3</v>
      </c>
    </row>
    <row r="976" spans="2:15" x14ac:dyDescent="0.25">
      <c r="B976" t="s">
        <v>1007</v>
      </c>
      <c r="C976" t="s">
        <v>17</v>
      </c>
      <c r="D976">
        <f>VLOOKUP(C976,customers[],3,0)</f>
        <v>30</v>
      </c>
      <c r="E976" t="str">
        <f>VLOOKUP(C976,customers[],2,0)</f>
        <v>Female</v>
      </c>
      <c r="F976" t="str">
        <f>VLOOKUP(C976,customers[],4,0)</f>
        <v>Cleveland</v>
      </c>
      <c r="G976">
        <v>147</v>
      </c>
      <c r="H976" s="17" t="s">
        <v>12</v>
      </c>
      <c r="I976" s="18">
        <v>45276</v>
      </c>
      <c r="J976">
        <v>76</v>
      </c>
      <c r="K976">
        <v>4.7</v>
      </c>
      <c r="L976">
        <f>IF(MONTH(calls[[#This Row],[Date of Call]])&lt;=6, YEAR(calls[[#This Row],[Date of Call]]), YEAR(calls[[#This Row],[Date of Call]])+1)</f>
        <v>2024</v>
      </c>
      <c r="M976" t="str">
        <f>TEXT(calls[[#This Row],[Date of Call]],"DDDD")</f>
        <v>السبت</v>
      </c>
      <c r="N976" t="str" cm="1">
        <f t="array" ref="N976">_xlfn.IFS(calls[[#This Row],[Duration]]&lt;=10,"Under 10 mins", calls[[#This Row],[Duration]]&lt;=30, "10 to 30 mins", calls[[#This Row],[Duration]]&lt;=60, "30 to 60 mins", calls[[#This Row],[Duration]]&lt;=120, "1 to 2 hours", TRUE, "More than 2 hours")</f>
        <v>More than 2 hours</v>
      </c>
      <c r="O976">
        <f>ROUND(calls[[#This Row],[Satisfaction Rating]],0)</f>
        <v>5</v>
      </c>
    </row>
    <row r="977" spans="2:15" x14ac:dyDescent="0.25">
      <c r="B977" t="s">
        <v>1008</v>
      </c>
      <c r="C977" t="s">
        <v>18</v>
      </c>
      <c r="D977">
        <f>VLOOKUP(C977,customers[],3,0)</f>
        <v>43</v>
      </c>
      <c r="E977" t="str">
        <f>VLOOKUP(C977,customers[],2,0)</f>
        <v>Female</v>
      </c>
      <c r="F977" t="str">
        <f>VLOOKUP(C977,customers[],4,0)</f>
        <v>Cleveland</v>
      </c>
      <c r="G977">
        <v>126</v>
      </c>
      <c r="H977" s="17" t="s">
        <v>12</v>
      </c>
      <c r="I977" s="18">
        <v>45276</v>
      </c>
      <c r="J977">
        <v>185</v>
      </c>
      <c r="K977">
        <v>4.8</v>
      </c>
      <c r="L977">
        <f>IF(MONTH(calls[[#This Row],[Date of Call]])&lt;=6, YEAR(calls[[#This Row],[Date of Call]]), YEAR(calls[[#This Row],[Date of Call]])+1)</f>
        <v>2024</v>
      </c>
      <c r="M977" t="str">
        <f>TEXT(calls[[#This Row],[Date of Call]],"DDDD")</f>
        <v>السبت</v>
      </c>
      <c r="N977" t="str" cm="1">
        <f t="array" ref="N977">_xlfn.IFS(calls[[#This Row],[Duration]]&lt;=10,"Under 10 mins", calls[[#This Row],[Duration]]&lt;=30, "10 to 30 mins", calls[[#This Row],[Duration]]&lt;=60, "30 to 60 mins", calls[[#This Row],[Duration]]&lt;=120, "1 to 2 hours", TRUE, "More than 2 hours")</f>
        <v>More than 2 hours</v>
      </c>
      <c r="O977">
        <f>ROUND(calls[[#This Row],[Satisfaction Rating]],0)</f>
        <v>5</v>
      </c>
    </row>
    <row r="978" spans="2:15" x14ac:dyDescent="0.25">
      <c r="B978" t="s">
        <v>1009</v>
      </c>
      <c r="C978" t="s">
        <v>22</v>
      </c>
      <c r="D978">
        <f>VLOOKUP(C978,customers[],3,0)</f>
        <v>37</v>
      </c>
      <c r="E978" t="str">
        <f>VLOOKUP(C978,customers[],2,0)</f>
        <v>Male</v>
      </c>
      <c r="F978" t="str">
        <f>VLOOKUP(C978,customers[],4,0)</f>
        <v>Columbus</v>
      </c>
      <c r="G978">
        <v>126</v>
      </c>
      <c r="H978" s="17" t="s">
        <v>10</v>
      </c>
      <c r="I978" s="18">
        <v>45277</v>
      </c>
      <c r="J978">
        <v>80</v>
      </c>
      <c r="K978">
        <v>4.7</v>
      </c>
      <c r="L978">
        <f>IF(MONTH(calls[[#This Row],[Date of Call]])&lt;=6, YEAR(calls[[#This Row],[Date of Call]]), YEAR(calls[[#This Row],[Date of Call]])+1)</f>
        <v>2024</v>
      </c>
      <c r="M978" t="str">
        <f>TEXT(calls[[#This Row],[Date of Call]],"DDDD")</f>
        <v>الأحد</v>
      </c>
      <c r="N978" t="str" cm="1">
        <f t="array" ref="N978">_xlfn.IFS(calls[[#This Row],[Duration]]&lt;=10,"Under 10 mins", calls[[#This Row],[Duration]]&lt;=30, "10 to 30 mins", calls[[#This Row],[Duration]]&lt;=60, "30 to 60 mins", calls[[#This Row],[Duration]]&lt;=120, "1 to 2 hours", TRUE, "More than 2 hours")</f>
        <v>More than 2 hours</v>
      </c>
      <c r="O978">
        <f>ROUND(calls[[#This Row],[Satisfaction Rating]],0)</f>
        <v>5</v>
      </c>
    </row>
    <row r="979" spans="2:15" x14ac:dyDescent="0.25">
      <c r="B979" t="s">
        <v>1010</v>
      </c>
      <c r="C979" t="s">
        <v>13</v>
      </c>
      <c r="D979">
        <f>VLOOKUP(C979,customers[],3,0)</f>
        <v>37</v>
      </c>
      <c r="E979" t="str">
        <f>VLOOKUP(C979,customers[],2,0)</f>
        <v>Female</v>
      </c>
      <c r="F979" t="str">
        <f>VLOOKUP(C979,customers[],4,0)</f>
        <v>Cleveland</v>
      </c>
      <c r="G979">
        <v>32</v>
      </c>
      <c r="H979" s="17" t="s">
        <v>12</v>
      </c>
      <c r="I979" s="18">
        <v>45277</v>
      </c>
      <c r="J979">
        <v>148</v>
      </c>
      <c r="K979">
        <v>4</v>
      </c>
      <c r="L979">
        <f>IF(MONTH(calls[[#This Row],[Date of Call]])&lt;=6, YEAR(calls[[#This Row],[Date of Call]]), YEAR(calls[[#This Row],[Date of Call]])+1)</f>
        <v>2024</v>
      </c>
      <c r="M979" t="str">
        <f>TEXT(calls[[#This Row],[Date of Call]],"DDDD")</f>
        <v>الأحد</v>
      </c>
      <c r="N979" t="str" cm="1">
        <f t="array" ref="N979">_xlfn.IFS(calls[[#This Row],[Duration]]&lt;=10,"Under 10 mins", calls[[#This Row],[Duration]]&lt;=30, "10 to 30 mins", calls[[#This Row],[Duration]]&lt;=60, "30 to 60 mins", calls[[#This Row],[Duration]]&lt;=120, "1 to 2 hours", TRUE, "More than 2 hours")</f>
        <v>30 to 60 mins</v>
      </c>
      <c r="O979">
        <f>ROUND(calls[[#This Row],[Satisfaction Rating]],0)</f>
        <v>4</v>
      </c>
    </row>
    <row r="980" spans="2:15" x14ac:dyDescent="0.25">
      <c r="B980" t="s">
        <v>1011</v>
      </c>
      <c r="C980" t="s">
        <v>22</v>
      </c>
      <c r="D980">
        <f>VLOOKUP(C980,customers[],3,0)</f>
        <v>37</v>
      </c>
      <c r="E980" t="str">
        <f>VLOOKUP(C980,customers[],2,0)</f>
        <v>Male</v>
      </c>
      <c r="F980" t="str">
        <f>VLOOKUP(C980,customers[],4,0)</f>
        <v>Columbus</v>
      </c>
      <c r="G980">
        <v>84</v>
      </c>
      <c r="H980" s="17" t="s">
        <v>5</v>
      </c>
      <c r="I980" s="18">
        <v>45279</v>
      </c>
      <c r="J980">
        <v>180</v>
      </c>
      <c r="K980">
        <v>4.9000000000000004</v>
      </c>
      <c r="L980">
        <f>IF(MONTH(calls[[#This Row],[Date of Call]])&lt;=6, YEAR(calls[[#This Row],[Date of Call]]), YEAR(calls[[#This Row],[Date of Call]])+1)</f>
        <v>2024</v>
      </c>
      <c r="M980" t="str">
        <f>TEXT(calls[[#This Row],[Date of Call]],"DDDD")</f>
        <v>الثلاثاء</v>
      </c>
      <c r="N980" t="str" cm="1">
        <f t="array" ref="N980">_xlfn.IFS(calls[[#This Row],[Duration]]&lt;=10,"Under 10 mins", calls[[#This Row],[Duration]]&lt;=30, "10 to 30 mins", calls[[#This Row],[Duration]]&lt;=60, "30 to 60 mins", calls[[#This Row],[Duration]]&lt;=120, "1 to 2 hours", TRUE, "More than 2 hours")</f>
        <v>1 to 2 hours</v>
      </c>
      <c r="O980">
        <f>ROUND(calls[[#This Row],[Satisfaction Rating]],0)</f>
        <v>5</v>
      </c>
    </row>
    <row r="981" spans="2:15" x14ac:dyDescent="0.25">
      <c r="B981" t="s">
        <v>1012</v>
      </c>
      <c r="C981" t="s">
        <v>21</v>
      </c>
      <c r="D981">
        <f>VLOOKUP(C981,customers[],3,0)</f>
        <v>25</v>
      </c>
      <c r="E981" t="str">
        <f>VLOOKUP(C981,customers[],2,0)</f>
        <v>Female</v>
      </c>
      <c r="F981" t="str">
        <f>VLOOKUP(C981,customers[],4,0)</f>
        <v>Columbus</v>
      </c>
      <c r="G981">
        <v>120</v>
      </c>
      <c r="H981" s="17" t="s">
        <v>10</v>
      </c>
      <c r="I981" s="18">
        <v>45280</v>
      </c>
      <c r="J981">
        <v>190</v>
      </c>
      <c r="K981">
        <v>3.7</v>
      </c>
      <c r="L981">
        <f>IF(MONTH(calls[[#This Row],[Date of Call]])&lt;=6, YEAR(calls[[#This Row],[Date of Call]]), YEAR(calls[[#This Row],[Date of Call]])+1)</f>
        <v>2024</v>
      </c>
      <c r="M981" t="str">
        <f>TEXT(calls[[#This Row],[Date of Call]],"DDDD")</f>
        <v>الأربعاء</v>
      </c>
      <c r="N981" t="str" cm="1">
        <f t="array" ref="N981">_xlfn.IFS(calls[[#This Row],[Duration]]&lt;=10,"Under 10 mins", calls[[#This Row],[Duration]]&lt;=30, "10 to 30 mins", calls[[#This Row],[Duration]]&lt;=60, "30 to 60 mins", calls[[#This Row],[Duration]]&lt;=120, "1 to 2 hours", TRUE, "More than 2 hours")</f>
        <v>1 to 2 hours</v>
      </c>
      <c r="O981">
        <f>ROUND(calls[[#This Row],[Satisfaction Rating]],0)</f>
        <v>4</v>
      </c>
    </row>
    <row r="982" spans="2:15" x14ac:dyDescent="0.25">
      <c r="B982" t="s">
        <v>1013</v>
      </c>
      <c r="C982" t="s">
        <v>7</v>
      </c>
      <c r="D982">
        <f>VLOOKUP(C982,customers[],3,0)</f>
        <v>30</v>
      </c>
      <c r="E982" t="str">
        <f>VLOOKUP(C982,customers[],2,0)</f>
        <v>Female</v>
      </c>
      <c r="F982" t="str">
        <f>VLOOKUP(C982,customers[],4,0)</f>
        <v>Cincinnati</v>
      </c>
      <c r="G982">
        <v>93</v>
      </c>
      <c r="H982" s="17" t="s">
        <v>12</v>
      </c>
      <c r="I982" s="18">
        <v>45280</v>
      </c>
      <c r="J982">
        <v>38</v>
      </c>
      <c r="K982">
        <v>4.5</v>
      </c>
      <c r="L982">
        <f>IF(MONTH(calls[[#This Row],[Date of Call]])&lt;=6, YEAR(calls[[#This Row],[Date of Call]]), YEAR(calls[[#This Row],[Date of Call]])+1)</f>
        <v>2024</v>
      </c>
      <c r="M982" t="str">
        <f>TEXT(calls[[#This Row],[Date of Call]],"DDDD")</f>
        <v>الأربعاء</v>
      </c>
      <c r="N982" t="str" cm="1">
        <f t="array" ref="N982">_xlfn.IFS(calls[[#This Row],[Duration]]&lt;=10,"Under 10 mins", calls[[#This Row],[Duration]]&lt;=30, "10 to 30 mins", calls[[#This Row],[Duration]]&lt;=60, "30 to 60 mins", calls[[#This Row],[Duration]]&lt;=120, "1 to 2 hours", TRUE, "More than 2 hours")</f>
        <v>1 to 2 hours</v>
      </c>
      <c r="O982">
        <f>ROUND(calls[[#This Row],[Satisfaction Rating]],0)</f>
        <v>5</v>
      </c>
    </row>
    <row r="983" spans="2:15" x14ac:dyDescent="0.25">
      <c r="B983" t="s">
        <v>1014</v>
      </c>
      <c r="C983" t="s">
        <v>14</v>
      </c>
      <c r="D983">
        <f>VLOOKUP(C983,customers[],3,0)</f>
        <v>22</v>
      </c>
      <c r="E983" t="str">
        <f>VLOOKUP(C983,customers[],2,0)</f>
        <v>Female</v>
      </c>
      <c r="F983" t="str">
        <f>VLOOKUP(C983,customers[],4,0)</f>
        <v>Cleveland</v>
      </c>
      <c r="G983">
        <v>76</v>
      </c>
      <c r="H983" s="17" t="s">
        <v>8</v>
      </c>
      <c r="I983" s="18">
        <v>45281</v>
      </c>
      <c r="J983">
        <v>82</v>
      </c>
      <c r="K983">
        <v>2.1</v>
      </c>
      <c r="L983">
        <f>IF(MONTH(calls[[#This Row],[Date of Call]])&lt;=6, YEAR(calls[[#This Row],[Date of Call]]), YEAR(calls[[#This Row],[Date of Call]])+1)</f>
        <v>2024</v>
      </c>
      <c r="M983" t="str">
        <f>TEXT(calls[[#This Row],[Date of Call]],"DDDD")</f>
        <v>الخميس</v>
      </c>
      <c r="N983" t="str" cm="1">
        <f t="array" ref="N983">_xlfn.IFS(calls[[#This Row],[Duration]]&lt;=10,"Under 10 mins", calls[[#This Row],[Duration]]&lt;=30, "10 to 30 mins", calls[[#This Row],[Duration]]&lt;=60, "30 to 60 mins", calls[[#This Row],[Duration]]&lt;=120, "1 to 2 hours", TRUE, "More than 2 hours")</f>
        <v>1 to 2 hours</v>
      </c>
      <c r="O983">
        <f>ROUND(calls[[#This Row],[Satisfaction Rating]],0)</f>
        <v>2</v>
      </c>
    </row>
    <row r="984" spans="2:15" x14ac:dyDescent="0.25">
      <c r="B984" t="s">
        <v>1015</v>
      </c>
      <c r="C984" t="s">
        <v>4</v>
      </c>
      <c r="D984">
        <f>VLOOKUP(C984,customers[],3,0)</f>
        <v>42</v>
      </c>
      <c r="E984" t="str">
        <f>VLOOKUP(C984,customers[],2,0)</f>
        <v>Female</v>
      </c>
      <c r="F984" t="str">
        <f>VLOOKUP(C984,customers[],4,0)</f>
        <v>Cleveland</v>
      </c>
      <c r="G984">
        <v>89</v>
      </c>
      <c r="H984" s="17" t="s">
        <v>12</v>
      </c>
      <c r="I984" s="18">
        <v>45284</v>
      </c>
      <c r="J984">
        <v>88</v>
      </c>
      <c r="K984">
        <v>2.8</v>
      </c>
      <c r="L984">
        <f>IF(MONTH(calls[[#This Row],[Date of Call]])&lt;=6, YEAR(calls[[#This Row],[Date of Call]]), YEAR(calls[[#This Row],[Date of Call]])+1)</f>
        <v>2024</v>
      </c>
      <c r="M984" t="str">
        <f>TEXT(calls[[#This Row],[Date of Call]],"DDDD")</f>
        <v>الأحد</v>
      </c>
      <c r="N984" t="str" cm="1">
        <f t="array" ref="N984">_xlfn.IFS(calls[[#This Row],[Duration]]&lt;=10,"Under 10 mins", calls[[#This Row],[Duration]]&lt;=30, "10 to 30 mins", calls[[#This Row],[Duration]]&lt;=60, "30 to 60 mins", calls[[#This Row],[Duration]]&lt;=120, "1 to 2 hours", TRUE, "More than 2 hours")</f>
        <v>1 to 2 hours</v>
      </c>
      <c r="O984">
        <f>ROUND(calls[[#This Row],[Satisfaction Rating]],0)</f>
        <v>3</v>
      </c>
    </row>
    <row r="985" spans="2:15" x14ac:dyDescent="0.25">
      <c r="B985" t="s">
        <v>1016</v>
      </c>
      <c r="C985" t="s">
        <v>20</v>
      </c>
      <c r="D985">
        <f>VLOOKUP(C985,customers[],3,0)</f>
        <v>38</v>
      </c>
      <c r="E985" t="str">
        <f>VLOOKUP(C985,customers[],2,0)</f>
        <v>Female</v>
      </c>
      <c r="F985" t="str">
        <f>VLOOKUP(C985,customers[],4,0)</f>
        <v>Columbus</v>
      </c>
      <c r="G985">
        <v>91</v>
      </c>
      <c r="H985" s="17" t="s">
        <v>5</v>
      </c>
      <c r="I985" s="18">
        <v>45284</v>
      </c>
      <c r="J985">
        <v>42</v>
      </c>
      <c r="K985">
        <v>4.0999999999999996</v>
      </c>
      <c r="L985">
        <f>IF(MONTH(calls[[#This Row],[Date of Call]])&lt;=6, YEAR(calls[[#This Row],[Date of Call]]), YEAR(calls[[#This Row],[Date of Call]])+1)</f>
        <v>2024</v>
      </c>
      <c r="M985" t="str">
        <f>TEXT(calls[[#This Row],[Date of Call]],"DDDD")</f>
        <v>الأحد</v>
      </c>
      <c r="N985" t="str" cm="1">
        <f t="array" ref="N985">_xlfn.IFS(calls[[#This Row],[Duration]]&lt;=10,"Under 10 mins", calls[[#This Row],[Duration]]&lt;=30, "10 to 30 mins", calls[[#This Row],[Duration]]&lt;=60, "30 to 60 mins", calls[[#This Row],[Duration]]&lt;=120, "1 to 2 hours", TRUE, "More than 2 hours")</f>
        <v>1 to 2 hours</v>
      </c>
      <c r="O985">
        <f>ROUND(calls[[#This Row],[Satisfaction Rating]],0)</f>
        <v>4</v>
      </c>
    </row>
    <row r="986" spans="2:15" x14ac:dyDescent="0.25">
      <c r="B986" t="s">
        <v>1017</v>
      </c>
      <c r="C986" t="s">
        <v>6</v>
      </c>
      <c r="D986">
        <f>VLOOKUP(C986,customers[],3,0)</f>
        <v>23</v>
      </c>
      <c r="E986" t="str">
        <f>VLOOKUP(C986,customers[],2,0)</f>
        <v>Male</v>
      </c>
      <c r="F986" t="str">
        <f>VLOOKUP(C986,customers[],4,0)</f>
        <v>Columbus</v>
      </c>
      <c r="G986">
        <v>7</v>
      </c>
      <c r="H986" s="17" t="s">
        <v>9</v>
      </c>
      <c r="I986" s="18">
        <v>45285</v>
      </c>
      <c r="J986">
        <v>64</v>
      </c>
      <c r="K986">
        <v>3.3</v>
      </c>
      <c r="L986">
        <f>IF(MONTH(calls[[#This Row],[Date of Call]])&lt;=6, YEAR(calls[[#This Row],[Date of Call]]), YEAR(calls[[#This Row],[Date of Call]])+1)</f>
        <v>2024</v>
      </c>
      <c r="M986" t="str">
        <f>TEXT(calls[[#This Row],[Date of Call]],"DDDD")</f>
        <v>الإثنين</v>
      </c>
      <c r="N986" t="str" cm="1">
        <f t="array" ref="N986">_xlfn.IFS(calls[[#This Row],[Duration]]&lt;=10,"Under 10 mins", calls[[#This Row],[Duration]]&lt;=30, "10 to 30 mins", calls[[#This Row],[Duration]]&lt;=60, "30 to 60 mins", calls[[#This Row],[Duration]]&lt;=120, "1 to 2 hours", TRUE, "More than 2 hours")</f>
        <v>Under 10 mins</v>
      </c>
      <c r="O986">
        <f>ROUND(calls[[#This Row],[Satisfaction Rating]],0)</f>
        <v>3</v>
      </c>
    </row>
    <row r="987" spans="2:15" x14ac:dyDescent="0.25">
      <c r="B987" t="s">
        <v>1018</v>
      </c>
      <c r="C987" t="s">
        <v>13</v>
      </c>
      <c r="D987">
        <f>VLOOKUP(C987,customers[],3,0)</f>
        <v>37</v>
      </c>
      <c r="E987" t="str">
        <f>VLOOKUP(C987,customers[],2,0)</f>
        <v>Female</v>
      </c>
      <c r="F987" t="str">
        <f>VLOOKUP(C987,customers[],4,0)</f>
        <v>Cleveland</v>
      </c>
      <c r="G987">
        <v>140</v>
      </c>
      <c r="H987" s="17" t="s">
        <v>9</v>
      </c>
      <c r="I987" s="18">
        <v>45285</v>
      </c>
      <c r="J987">
        <v>105</v>
      </c>
      <c r="K987">
        <v>1.7</v>
      </c>
      <c r="L987">
        <f>IF(MONTH(calls[[#This Row],[Date of Call]])&lt;=6, YEAR(calls[[#This Row],[Date of Call]]), YEAR(calls[[#This Row],[Date of Call]])+1)</f>
        <v>2024</v>
      </c>
      <c r="M987" t="str">
        <f>TEXT(calls[[#This Row],[Date of Call]],"DDDD")</f>
        <v>الإثنين</v>
      </c>
      <c r="N987" t="str" cm="1">
        <f t="array" ref="N987">_xlfn.IFS(calls[[#This Row],[Duration]]&lt;=10,"Under 10 mins", calls[[#This Row],[Duration]]&lt;=30, "10 to 30 mins", calls[[#This Row],[Duration]]&lt;=60, "30 to 60 mins", calls[[#This Row],[Duration]]&lt;=120, "1 to 2 hours", TRUE, "More than 2 hours")</f>
        <v>More than 2 hours</v>
      </c>
      <c r="O987">
        <f>ROUND(calls[[#This Row],[Satisfaction Rating]],0)</f>
        <v>2</v>
      </c>
    </row>
    <row r="988" spans="2:15" x14ac:dyDescent="0.25">
      <c r="B988" t="s">
        <v>1019</v>
      </c>
      <c r="C988" t="s">
        <v>11</v>
      </c>
      <c r="D988">
        <f>VLOOKUP(C988,customers[],3,0)</f>
        <v>36</v>
      </c>
      <c r="E988" t="str">
        <f>VLOOKUP(C988,customers[],2,0)</f>
        <v>Male</v>
      </c>
      <c r="F988" t="str">
        <f>VLOOKUP(C988,customers[],4,0)</f>
        <v>Cincinnati</v>
      </c>
      <c r="G988">
        <v>58</v>
      </c>
      <c r="H988" s="17" t="s">
        <v>10</v>
      </c>
      <c r="I988" s="18">
        <v>45285</v>
      </c>
      <c r="J988">
        <v>25</v>
      </c>
      <c r="K988">
        <v>3.6</v>
      </c>
      <c r="L988">
        <f>IF(MONTH(calls[[#This Row],[Date of Call]])&lt;=6, YEAR(calls[[#This Row],[Date of Call]]), YEAR(calls[[#This Row],[Date of Call]])+1)</f>
        <v>2024</v>
      </c>
      <c r="M988" t="str">
        <f>TEXT(calls[[#This Row],[Date of Call]],"DDDD")</f>
        <v>الإثنين</v>
      </c>
      <c r="N988" t="str" cm="1">
        <f t="array" ref="N988">_xlfn.IFS(calls[[#This Row],[Duration]]&lt;=10,"Under 10 mins", calls[[#This Row],[Duration]]&lt;=30, "10 to 30 mins", calls[[#This Row],[Duration]]&lt;=60, "30 to 60 mins", calls[[#This Row],[Duration]]&lt;=120, "1 to 2 hours", TRUE, "More than 2 hours")</f>
        <v>30 to 60 mins</v>
      </c>
      <c r="O988">
        <f>ROUND(calls[[#This Row],[Satisfaction Rating]],0)</f>
        <v>4</v>
      </c>
    </row>
    <row r="989" spans="2:15" x14ac:dyDescent="0.25">
      <c r="B989" t="s">
        <v>1020</v>
      </c>
      <c r="C989" t="s">
        <v>19</v>
      </c>
      <c r="D989">
        <f>VLOOKUP(C989,customers[],3,0)</f>
        <v>26</v>
      </c>
      <c r="E989" t="str">
        <f>VLOOKUP(C989,customers[],2,0)</f>
        <v>Male</v>
      </c>
      <c r="F989" t="str">
        <f>VLOOKUP(C989,customers[],4,0)</f>
        <v>Cincinnati</v>
      </c>
      <c r="G989">
        <v>90</v>
      </c>
      <c r="H989" s="17" t="s">
        <v>8</v>
      </c>
      <c r="I989" s="18">
        <v>45286</v>
      </c>
      <c r="J989">
        <v>176</v>
      </c>
      <c r="K989">
        <v>3.6</v>
      </c>
      <c r="L989">
        <f>IF(MONTH(calls[[#This Row],[Date of Call]])&lt;=6, YEAR(calls[[#This Row],[Date of Call]]), YEAR(calls[[#This Row],[Date of Call]])+1)</f>
        <v>2024</v>
      </c>
      <c r="M989" t="str">
        <f>TEXT(calls[[#This Row],[Date of Call]],"DDDD")</f>
        <v>الثلاثاء</v>
      </c>
      <c r="N989" t="str" cm="1">
        <f t="array" ref="N989">_xlfn.IFS(calls[[#This Row],[Duration]]&lt;=10,"Under 10 mins", calls[[#This Row],[Duration]]&lt;=30, "10 to 30 mins", calls[[#This Row],[Duration]]&lt;=60, "30 to 60 mins", calls[[#This Row],[Duration]]&lt;=120, "1 to 2 hours", TRUE, "More than 2 hours")</f>
        <v>1 to 2 hours</v>
      </c>
      <c r="O989">
        <f>ROUND(calls[[#This Row],[Satisfaction Rating]],0)</f>
        <v>4</v>
      </c>
    </row>
    <row r="990" spans="2:15" x14ac:dyDescent="0.25">
      <c r="B990" t="s">
        <v>1021</v>
      </c>
      <c r="C990" t="s">
        <v>19</v>
      </c>
      <c r="D990">
        <f>VLOOKUP(C990,customers[],3,0)</f>
        <v>26</v>
      </c>
      <c r="E990" t="str">
        <f>VLOOKUP(C990,customers[],2,0)</f>
        <v>Male</v>
      </c>
      <c r="F990" t="str">
        <f>VLOOKUP(C990,customers[],4,0)</f>
        <v>Cincinnati</v>
      </c>
      <c r="G990">
        <v>106</v>
      </c>
      <c r="H990" s="17" t="s">
        <v>12</v>
      </c>
      <c r="I990" s="18">
        <v>45287</v>
      </c>
      <c r="J990">
        <v>46</v>
      </c>
      <c r="K990">
        <v>4.5999999999999996</v>
      </c>
      <c r="L990">
        <f>IF(MONTH(calls[[#This Row],[Date of Call]])&lt;=6, YEAR(calls[[#This Row],[Date of Call]]), YEAR(calls[[#This Row],[Date of Call]])+1)</f>
        <v>2024</v>
      </c>
      <c r="M990" t="str">
        <f>TEXT(calls[[#This Row],[Date of Call]],"DDDD")</f>
        <v>الأربعاء</v>
      </c>
      <c r="N990" t="str" cm="1">
        <f t="array" ref="N990">_xlfn.IFS(calls[[#This Row],[Duration]]&lt;=10,"Under 10 mins", calls[[#This Row],[Duration]]&lt;=30, "10 to 30 mins", calls[[#This Row],[Duration]]&lt;=60, "30 to 60 mins", calls[[#This Row],[Duration]]&lt;=120, "1 to 2 hours", TRUE, "More than 2 hours")</f>
        <v>1 to 2 hours</v>
      </c>
      <c r="O990">
        <f>ROUND(calls[[#This Row],[Satisfaction Rating]],0)</f>
        <v>5</v>
      </c>
    </row>
    <row r="991" spans="2:15" x14ac:dyDescent="0.25">
      <c r="B991" t="s">
        <v>1022</v>
      </c>
      <c r="C991" t="s">
        <v>21</v>
      </c>
      <c r="D991">
        <f>VLOOKUP(C991,customers[],3,0)</f>
        <v>25</v>
      </c>
      <c r="E991" t="str">
        <f>VLOOKUP(C991,customers[],2,0)</f>
        <v>Female</v>
      </c>
      <c r="F991" t="str">
        <f>VLOOKUP(C991,customers[],4,0)</f>
        <v>Columbus</v>
      </c>
      <c r="G991">
        <v>72</v>
      </c>
      <c r="H991" s="17" t="s">
        <v>9</v>
      </c>
      <c r="I991" s="18">
        <v>45287</v>
      </c>
      <c r="J991">
        <v>164</v>
      </c>
      <c r="K991">
        <v>4.8</v>
      </c>
      <c r="L991">
        <f>IF(MONTH(calls[[#This Row],[Date of Call]])&lt;=6, YEAR(calls[[#This Row],[Date of Call]]), YEAR(calls[[#This Row],[Date of Call]])+1)</f>
        <v>2024</v>
      </c>
      <c r="M991" t="str">
        <f>TEXT(calls[[#This Row],[Date of Call]],"DDDD")</f>
        <v>الأربعاء</v>
      </c>
      <c r="N991" t="str" cm="1">
        <f t="array" ref="N991">_xlfn.IFS(calls[[#This Row],[Duration]]&lt;=10,"Under 10 mins", calls[[#This Row],[Duration]]&lt;=30, "10 to 30 mins", calls[[#This Row],[Duration]]&lt;=60, "30 to 60 mins", calls[[#This Row],[Duration]]&lt;=120, "1 to 2 hours", TRUE, "More than 2 hours")</f>
        <v>1 to 2 hours</v>
      </c>
      <c r="O991">
        <f>ROUND(calls[[#This Row],[Satisfaction Rating]],0)</f>
        <v>5</v>
      </c>
    </row>
    <row r="992" spans="2:15" x14ac:dyDescent="0.25">
      <c r="B992" t="s">
        <v>1023</v>
      </c>
      <c r="C992" t="s">
        <v>6</v>
      </c>
      <c r="D992">
        <f>VLOOKUP(C992,customers[],3,0)</f>
        <v>23</v>
      </c>
      <c r="E992" t="str">
        <f>VLOOKUP(C992,customers[],2,0)</f>
        <v>Male</v>
      </c>
      <c r="F992" t="str">
        <f>VLOOKUP(C992,customers[],4,0)</f>
        <v>Columbus</v>
      </c>
      <c r="G992">
        <v>124</v>
      </c>
      <c r="H992" s="17" t="s">
        <v>9</v>
      </c>
      <c r="I992" s="18">
        <v>45288</v>
      </c>
      <c r="J992">
        <v>64</v>
      </c>
      <c r="K992">
        <v>4.5</v>
      </c>
      <c r="L992">
        <f>IF(MONTH(calls[[#This Row],[Date of Call]])&lt;=6, YEAR(calls[[#This Row],[Date of Call]]), YEAR(calls[[#This Row],[Date of Call]])+1)</f>
        <v>2024</v>
      </c>
      <c r="M992" t="str">
        <f>TEXT(calls[[#This Row],[Date of Call]],"DDDD")</f>
        <v>الخميس</v>
      </c>
      <c r="N992" t="str" cm="1">
        <f t="array" ref="N992">_xlfn.IFS(calls[[#This Row],[Duration]]&lt;=10,"Under 10 mins", calls[[#This Row],[Duration]]&lt;=30, "10 to 30 mins", calls[[#This Row],[Duration]]&lt;=60, "30 to 60 mins", calls[[#This Row],[Duration]]&lt;=120, "1 to 2 hours", TRUE, "More than 2 hours")</f>
        <v>More than 2 hours</v>
      </c>
      <c r="O992">
        <f>ROUND(calls[[#This Row],[Satisfaction Rating]],0)</f>
        <v>5</v>
      </c>
    </row>
    <row r="993" spans="2:15" x14ac:dyDescent="0.25">
      <c r="B993" t="s">
        <v>1024</v>
      </c>
      <c r="C993" t="s">
        <v>23</v>
      </c>
      <c r="D993">
        <f>VLOOKUP(C993,customers[],3,0)</f>
        <v>31</v>
      </c>
      <c r="E993" t="str">
        <f>VLOOKUP(C993,customers[],2,0)</f>
        <v>Male</v>
      </c>
      <c r="F993" t="str">
        <f>VLOOKUP(C993,customers[],4,0)</f>
        <v>Cleveland</v>
      </c>
      <c r="G993">
        <v>86</v>
      </c>
      <c r="H993" s="17" t="s">
        <v>5</v>
      </c>
      <c r="I993" s="18">
        <v>45288</v>
      </c>
      <c r="J993">
        <v>205</v>
      </c>
      <c r="K993">
        <v>4.5</v>
      </c>
      <c r="L993">
        <f>IF(MONTH(calls[[#This Row],[Date of Call]])&lt;=6, YEAR(calls[[#This Row],[Date of Call]]), YEAR(calls[[#This Row],[Date of Call]])+1)</f>
        <v>2024</v>
      </c>
      <c r="M993" t="str">
        <f>TEXT(calls[[#This Row],[Date of Call]],"DDDD")</f>
        <v>الخميس</v>
      </c>
      <c r="N993" t="str" cm="1">
        <f t="array" ref="N993">_xlfn.IFS(calls[[#This Row],[Duration]]&lt;=10,"Under 10 mins", calls[[#This Row],[Duration]]&lt;=30, "10 to 30 mins", calls[[#This Row],[Duration]]&lt;=60, "30 to 60 mins", calls[[#This Row],[Duration]]&lt;=120, "1 to 2 hours", TRUE, "More than 2 hours")</f>
        <v>1 to 2 hours</v>
      </c>
      <c r="O993">
        <f>ROUND(calls[[#This Row],[Satisfaction Rating]],0)</f>
        <v>5</v>
      </c>
    </row>
    <row r="994" spans="2:15" x14ac:dyDescent="0.25">
      <c r="B994" t="s">
        <v>1025</v>
      </c>
      <c r="C994" t="s">
        <v>22</v>
      </c>
      <c r="D994">
        <f>VLOOKUP(C994,customers[],3,0)</f>
        <v>37</v>
      </c>
      <c r="E994" t="str">
        <f>VLOOKUP(C994,customers[],2,0)</f>
        <v>Male</v>
      </c>
      <c r="F994" t="str">
        <f>VLOOKUP(C994,customers[],4,0)</f>
        <v>Columbus</v>
      </c>
      <c r="G994">
        <v>164</v>
      </c>
      <c r="H994" s="17" t="s">
        <v>5</v>
      </c>
      <c r="I994" s="18">
        <v>45289</v>
      </c>
      <c r="J994">
        <v>100</v>
      </c>
      <c r="K994">
        <v>4.5999999999999996</v>
      </c>
      <c r="L994">
        <f>IF(MONTH(calls[[#This Row],[Date of Call]])&lt;=6, YEAR(calls[[#This Row],[Date of Call]]), YEAR(calls[[#This Row],[Date of Call]])+1)</f>
        <v>2024</v>
      </c>
      <c r="M994" t="str">
        <f>TEXT(calls[[#This Row],[Date of Call]],"DDDD")</f>
        <v>الجمعة</v>
      </c>
      <c r="N994" t="str" cm="1">
        <f t="array" ref="N994">_xlfn.IFS(calls[[#This Row],[Duration]]&lt;=10,"Under 10 mins", calls[[#This Row],[Duration]]&lt;=30, "10 to 30 mins", calls[[#This Row],[Duration]]&lt;=60, "30 to 60 mins", calls[[#This Row],[Duration]]&lt;=120, "1 to 2 hours", TRUE, "More than 2 hours")</f>
        <v>More than 2 hours</v>
      </c>
      <c r="O994">
        <f>ROUND(calls[[#This Row],[Satisfaction Rating]],0)</f>
        <v>5</v>
      </c>
    </row>
    <row r="995" spans="2:15" x14ac:dyDescent="0.25">
      <c r="B995" t="s">
        <v>1026</v>
      </c>
      <c r="C995" t="s">
        <v>7</v>
      </c>
      <c r="D995">
        <f>VLOOKUP(C995,customers[],3,0)</f>
        <v>30</v>
      </c>
      <c r="E995" t="str">
        <f>VLOOKUP(C995,customers[],2,0)</f>
        <v>Female</v>
      </c>
      <c r="F995" t="str">
        <f>VLOOKUP(C995,customers[],4,0)</f>
        <v>Cincinnati</v>
      </c>
      <c r="G995">
        <v>40</v>
      </c>
      <c r="H995" s="17" t="s">
        <v>8</v>
      </c>
      <c r="I995" s="18">
        <v>45289</v>
      </c>
      <c r="J995">
        <v>111</v>
      </c>
      <c r="K995">
        <v>4.5999999999999996</v>
      </c>
      <c r="L995">
        <f>IF(MONTH(calls[[#This Row],[Date of Call]])&lt;=6, YEAR(calls[[#This Row],[Date of Call]]), YEAR(calls[[#This Row],[Date of Call]])+1)</f>
        <v>2024</v>
      </c>
      <c r="M995" t="str">
        <f>TEXT(calls[[#This Row],[Date of Call]],"DDDD")</f>
        <v>الجمعة</v>
      </c>
      <c r="N995" t="str" cm="1">
        <f t="array" ref="N995">_xlfn.IFS(calls[[#This Row],[Duration]]&lt;=10,"Under 10 mins", calls[[#This Row],[Duration]]&lt;=30, "10 to 30 mins", calls[[#This Row],[Duration]]&lt;=60, "30 to 60 mins", calls[[#This Row],[Duration]]&lt;=120, "1 to 2 hours", TRUE, "More than 2 hours")</f>
        <v>30 to 60 mins</v>
      </c>
      <c r="O995">
        <f>ROUND(calls[[#This Row],[Satisfaction Rating]],0)</f>
        <v>5</v>
      </c>
    </row>
    <row r="996" spans="2:15" x14ac:dyDescent="0.25">
      <c r="B996" t="s">
        <v>1027</v>
      </c>
      <c r="C996" t="s">
        <v>20</v>
      </c>
      <c r="D996">
        <f>VLOOKUP(C996,customers[],3,0)</f>
        <v>38</v>
      </c>
      <c r="E996" t="str">
        <f>VLOOKUP(C996,customers[],2,0)</f>
        <v>Female</v>
      </c>
      <c r="F996" t="str">
        <f>VLOOKUP(C996,customers[],4,0)</f>
        <v>Columbus</v>
      </c>
      <c r="G996">
        <v>76</v>
      </c>
      <c r="H996" s="17" t="s">
        <v>10</v>
      </c>
      <c r="I996" s="18">
        <v>45289</v>
      </c>
      <c r="J996">
        <v>80</v>
      </c>
      <c r="K996">
        <v>3.5</v>
      </c>
      <c r="L996">
        <f>IF(MONTH(calls[[#This Row],[Date of Call]])&lt;=6, YEAR(calls[[#This Row],[Date of Call]]), YEAR(calls[[#This Row],[Date of Call]])+1)</f>
        <v>2024</v>
      </c>
      <c r="M996" t="str">
        <f>TEXT(calls[[#This Row],[Date of Call]],"DDDD")</f>
        <v>الجمعة</v>
      </c>
      <c r="N996" t="str" cm="1">
        <f t="array" ref="N996">_xlfn.IFS(calls[[#This Row],[Duration]]&lt;=10,"Under 10 mins", calls[[#This Row],[Duration]]&lt;=30, "10 to 30 mins", calls[[#This Row],[Duration]]&lt;=60, "30 to 60 mins", calls[[#This Row],[Duration]]&lt;=120, "1 to 2 hours", TRUE, "More than 2 hours")</f>
        <v>1 to 2 hours</v>
      </c>
      <c r="O996">
        <f>ROUND(calls[[#This Row],[Satisfaction Rating]],0)</f>
        <v>4</v>
      </c>
    </row>
    <row r="997" spans="2:15" x14ac:dyDescent="0.25">
      <c r="B997" t="s">
        <v>1028</v>
      </c>
      <c r="C997" t="s">
        <v>6</v>
      </c>
      <c r="D997">
        <f>VLOOKUP(C997,customers[],3,0)</f>
        <v>23</v>
      </c>
      <c r="E997" t="str">
        <f>VLOOKUP(C997,customers[],2,0)</f>
        <v>Male</v>
      </c>
      <c r="F997" t="str">
        <f>VLOOKUP(C997,customers[],4,0)</f>
        <v>Columbus</v>
      </c>
      <c r="G997">
        <v>95</v>
      </c>
      <c r="H997" s="17" t="s">
        <v>12</v>
      </c>
      <c r="I997" s="18">
        <v>45289</v>
      </c>
      <c r="J997">
        <v>50</v>
      </c>
      <c r="K997">
        <v>2.9</v>
      </c>
      <c r="L997">
        <f>IF(MONTH(calls[[#This Row],[Date of Call]])&lt;=6, YEAR(calls[[#This Row],[Date of Call]]), YEAR(calls[[#This Row],[Date of Call]])+1)</f>
        <v>2024</v>
      </c>
      <c r="M997" t="str">
        <f>TEXT(calls[[#This Row],[Date of Call]],"DDDD")</f>
        <v>الجمعة</v>
      </c>
      <c r="N997" t="str" cm="1">
        <f t="array" ref="N997">_xlfn.IFS(calls[[#This Row],[Duration]]&lt;=10,"Under 10 mins", calls[[#This Row],[Duration]]&lt;=30, "10 to 30 mins", calls[[#This Row],[Duration]]&lt;=60, "30 to 60 mins", calls[[#This Row],[Duration]]&lt;=120, "1 to 2 hours", TRUE, "More than 2 hours")</f>
        <v>1 to 2 hours</v>
      </c>
      <c r="O997">
        <f>ROUND(calls[[#This Row],[Satisfaction Rating]],0)</f>
        <v>3</v>
      </c>
    </row>
    <row r="998" spans="2:15" x14ac:dyDescent="0.25">
      <c r="B998" t="s">
        <v>1029</v>
      </c>
      <c r="C998" t="s">
        <v>20</v>
      </c>
      <c r="D998">
        <f>VLOOKUP(C998,customers[],3,0)</f>
        <v>38</v>
      </c>
      <c r="E998" t="str">
        <f>VLOOKUP(C998,customers[],2,0)</f>
        <v>Female</v>
      </c>
      <c r="F998" t="str">
        <f>VLOOKUP(C998,customers[],4,0)</f>
        <v>Columbus</v>
      </c>
      <c r="G998">
        <v>113</v>
      </c>
      <c r="H998" s="17" t="s">
        <v>9</v>
      </c>
      <c r="I998" s="18">
        <v>45290</v>
      </c>
      <c r="J998">
        <v>165</v>
      </c>
      <c r="K998">
        <v>4.7</v>
      </c>
      <c r="L998">
        <f>IF(MONTH(calls[[#This Row],[Date of Call]])&lt;=6, YEAR(calls[[#This Row],[Date of Call]]), YEAR(calls[[#This Row],[Date of Call]])+1)</f>
        <v>2024</v>
      </c>
      <c r="M998" t="str">
        <f>TEXT(calls[[#This Row],[Date of Call]],"DDDD")</f>
        <v>السبت</v>
      </c>
      <c r="N998" t="str" cm="1">
        <f t="array" ref="N998">_xlfn.IFS(calls[[#This Row],[Duration]]&lt;=10,"Under 10 mins", calls[[#This Row],[Duration]]&lt;=30, "10 to 30 mins", calls[[#This Row],[Duration]]&lt;=60, "30 to 60 mins", calls[[#This Row],[Duration]]&lt;=120, "1 to 2 hours", TRUE, "More than 2 hours")</f>
        <v>1 to 2 hours</v>
      </c>
      <c r="O998">
        <f>ROUND(calls[[#This Row],[Satisfaction Rating]],0)</f>
        <v>5</v>
      </c>
    </row>
    <row r="999" spans="2:15" x14ac:dyDescent="0.25">
      <c r="B999" t="s">
        <v>1030</v>
      </c>
      <c r="C999" t="s">
        <v>23</v>
      </c>
      <c r="D999">
        <f>VLOOKUP(C999,customers[],3,0)</f>
        <v>31</v>
      </c>
      <c r="E999" t="str">
        <f>VLOOKUP(C999,customers[],2,0)</f>
        <v>Male</v>
      </c>
      <c r="F999" t="str">
        <f>VLOOKUP(C999,customers[],4,0)</f>
        <v>Cleveland</v>
      </c>
      <c r="G999">
        <v>81</v>
      </c>
      <c r="H999" s="17" t="s">
        <v>9</v>
      </c>
      <c r="I999" s="18">
        <v>45290</v>
      </c>
      <c r="J999">
        <v>28</v>
      </c>
      <c r="K999">
        <v>3.9</v>
      </c>
      <c r="L999">
        <f>IF(MONTH(calls[[#This Row],[Date of Call]])&lt;=6, YEAR(calls[[#This Row],[Date of Call]]), YEAR(calls[[#This Row],[Date of Call]])+1)</f>
        <v>2024</v>
      </c>
      <c r="M999" t="str">
        <f>TEXT(calls[[#This Row],[Date of Call]],"DDDD")</f>
        <v>السبت</v>
      </c>
      <c r="N999" t="str" cm="1">
        <f t="array" ref="N999">_xlfn.IFS(calls[[#This Row],[Duration]]&lt;=10,"Under 10 mins", calls[[#This Row],[Duration]]&lt;=30, "10 to 30 mins", calls[[#This Row],[Duration]]&lt;=60, "30 to 60 mins", calls[[#This Row],[Duration]]&lt;=120, "1 to 2 hours", TRUE, "More than 2 hours")</f>
        <v>1 to 2 hours</v>
      </c>
      <c r="O999">
        <f>ROUND(calls[[#This Row],[Satisfaction Rating]],0)</f>
        <v>4</v>
      </c>
    </row>
    <row r="1000" spans="2:15" x14ac:dyDescent="0.25">
      <c r="B1000" t="s">
        <v>1031</v>
      </c>
      <c r="C1000" t="s">
        <v>14</v>
      </c>
      <c r="D1000">
        <f>VLOOKUP(C1000,customers[],3,0)</f>
        <v>22</v>
      </c>
      <c r="E1000" t="str">
        <f>VLOOKUP(C1000,customers[],2,0)</f>
        <v>Female</v>
      </c>
      <c r="F1000" t="str">
        <f>VLOOKUP(C1000,customers[],4,0)</f>
        <v>Cleveland</v>
      </c>
      <c r="G1000">
        <v>127</v>
      </c>
      <c r="H1000" s="17" t="s">
        <v>12</v>
      </c>
      <c r="I1000" s="18">
        <v>45290</v>
      </c>
      <c r="J1000">
        <v>215</v>
      </c>
      <c r="K1000">
        <v>3.8</v>
      </c>
      <c r="L1000">
        <f>IF(MONTH(calls[[#This Row],[Date of Call]])&lt;=6, YEAR(calls[[#This Row],[Date of Call]]), YEAR(calls[[#This Row],[Date of Call]])+1)</f>
        <v>2024</v>
      </c>
      <c r="M1000" t="str">
        <f>TEXT(calls[[#This Row],[Date of Call]],"DDDD")</f>
        <v>السبت</v>
      </c>
      <c r="N1000" t="str" cm="1">
        <f t="array" ref="N1000">_xlfn.IFS(calls[[#This Row],[Duration]]&lt;=10,"Under 10 mins", calls[[#This Row],[Duration]]&lt;=30, "10 to 30 mins", calls[[#This Row],[Duration]]&lt;=60, "30 to 60 mins", calls[[#This Row],[Duration]]&lt;=120, "1 to 2 hours", TRUE, "More than 2 hours")</f>
        <v>More than 2 hours</v>
      </c>
      <c r="O1000">
        <f>ROUND(calls[[#This Row],[Satisfaction Rating]],0)</f>
        <v>4</v>
      </c>
    </row>
    <row r="1001" spans="2:15" x14ac:dyDescent="0.25">
      <c r="B1001" t="s">
        <v>1032</v>
      </c>
      <c r="C1001" t="s">
        <v>13</v>
      </c>
      <c r="D1001">
        <f>VLOOKUP(C1001,customers[],3,0)</f>
        <v>37</v>
      </c>
      <c r="E1001" t="str">
        <f>VLOOKUP(C1001,customers[],2,0)</f>
        <v>Female</v>
      </c>
      <c r="F1001" t="str">
        <f>VLOOKUP(C1001,customers[],4,0)</f>
        <v>Cleveland</v>
      </c>
      <c r="G1001">
        <v>146</v>
      </c>
      <c r="H1001" s="17" t="s">
        <v>9</v>
      </c>
      <c r="I1001" s="18">
        <v>45291</v>
      </c>
      <c r="J1001">
        <v>115</v>
      </c>
      <c r="K1001">
        <v>2.2999999999999998</v>
      </c>
      <c r="L1001">
        <f>IF(MONTH(calls[[#This Row],[Date of Call]])&lt;=6, YEAR(calls[[#This Row],[Date of Call]]), YEAR(calls[[#This Row],[Date of Call]])+1)</f>
        <v>2024</v>
      </c>
      <c r="M1001" t="str">
        <f>TEXT(calls[[#This Row],[Date of Call]],"DDDD")</f>
        <v>الأحد</v>
      </c>
      <c r="N1001" t="str" cm="1">
        <f t="array" ref="N1001">_xlfn.IFS(calls[[#This Row],[Duration]]&lt;=10,"Under 10 mins", calls[[#This Row],[Duration]]&lt;=30, "10 to 30 mins", calls[[#This Row],[Duration]]&lt;=60, "30 to 60 mins", calls[[#This Row],[Duration]]&lt;=120, "1 to 2 hours", TRUE, "More than 2 hours")</f>
        <v>More than 2 hours</v>
      </c>
      <c r="O1001">
        <f>ROUND(calls[[#This Row],[Satisfaction Rating]],0)</f>
        <v>2</v>
      </c>
    </row>
    <row r="1002" spans="2:15" x14ac:dyDescent="0.25">
      <c r="B1002" t="s">
        <v>1033</v>
      </c>
      <c r="C1002" t="s">
        <v>17</v>
      </c>
      <c r="D1002">
        <f>VLOOKUP(C1002,customers[],3,0)</f>
        <v>30</v>
      </c>
      <c r="E1002" t="str">
        <f>VLOOKUP(C1002,customers[],2,0)</f>
        <v>Female</v>
      </c>
      <c r="F1002" t="str">
        <f>VLOOKUP(C1002,customers[],4,0)</f>
        <v>Cleveland</v>
      </c>
      <c r="G1002">
        <v>123</v>
      </c>
      <c r="H1002" s="17" t="s">
        <v>9</v>
      </c>
      <c r="I1002" s="18">
        <v>45291</v>
      </c>
      <c r="J1002">
        <v>64</v>
      </c>
      <c r="K1002">
        <v>3.7</v>
      </c>
      <c r="L1002">
        <f>IF(MONTH(calls[[#This Row],[Date of Call]])&lt;=6, YEAR(calls[[#This Row],[Date of Call]]), YEAR(calls[[#This Row],[Date of Call]])+1)</f>
        <v>2024</v>
      </c>
      <c r="M1002" t="str">
        <f>TEXT(calls[[#This Row],[Date of Call]],"DDDD")</f>
        <v>الأحد</v>
      </c>
      <c r="N1002" t="str" cm="1">
        <f t="array" ref="N1002">_xlfn.IFS(calls[[#This Row],[Duration]]&lt;=10,"Under 10 mins", calls[[#This Row],[Duration]]&lt;=30, "10 to 30 mins", calls[[#This Row],[Duration]]&lt;=60, "30 to 60 mins", calls[[#This Row],[Duration]]&lt;=120, "1 to 2 hours", TRUE, "More than 2 hours")</f>
        <v>More than 2 hours</v>
      </c>
      <c r="O1002">
        <f>ROUND(calls[[#This Row],[Satisfaction Rating]],0)</f>
        <v>4</v>
      </c>
    </row>
    <row r="1003" spans="2:15" x14ac:dyDescent="0.25">
      <c r="B1003" t="s">
        <v>1034</v>
      </c>
      <c r="C1003" t="s">
        <v>21</v>
      </c>
      <c r="D1003">
        <f>VLOOKUP(C1003,customers[],3,0)</f>
        <v>25</v>
      </c>
      <c r="E1003" t="str">
        <f>VLOOKUP(C1003,customers[],2,0)</f>
        <v>Female</v>
      </c>
      <c r="F1003" t="str">
        <f>VLOOKUP(C1003,customers[],4,0)</f>
        <v>Columbus</v>
      </c>
      <c r="G1003">
        <v>114</v>
      </c>
      <c r="H1003" s="17" t="s">
        <v>10</v>
      </c>
      <c r="I1003" s="18">
        <v>45291</v>
      </c>
      <c r="J1003">
        <v>40</v>
      </c>
      <c r="K1003">
        <v>3.9</v>
      </c>
      <c r="L1003">
        <f>IF(MONTH(calls[[#This Row],[Date of Call]])&lt;=6, YEAR(calls[[#This Row],[Date of Call]]), YEAR(calls[[#This Row],[Date of Call]])+1)</f>
        <v>2024</v>
      </c>
      <c r="M1003" t="str">
        <f>TEXT(calls[[#This Row],[Date of Call]],"DDDD")</f>
        <v>الأحد</v>
      </c>
      <c r="N1003" t="str" cm="1">
        <f t="array" ref="N1003">_xlfn.IFS(calls[[#This Row],[Duration]]&lt;=10,"Under 10 mins", calls[[#This Row],[Duration]]&lt;=30, "10 to 30 mins", calls[[#This Row],[Duration]]&lt;=60, "30 to 60 mins", calls[[#This Row],[Duration]]&lt;=120, "1 to 2 hours", TRUE, "More than 2 hours")</f>
        <v>1 to 2 hours</v>
      </c>
      <c r="O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FF0CB-DCC8-4F66-AF89-5543C462F243}">
  <dimension ref="B4:AC68"/>
  <sheetViews>
    <sheetView zoomScale="70" zoomScaleNormal="70" workbookViewId="0">
      <selection activeCell="H34" sqref="H32:H36"/>
      <pivotSelection pane="bottomRight" showHeader="1" axis="axisRow" activeRow="33" activeCol="7" previousRow="33" previousCol="7" click="1" r:id="rId12">
        <pivotArea dataOnly="0" labelOnly="1" fieldPosition="0">
          <references count="1">
            <reference field="10" count="0"/>
          </references>
        </pivotArea>
      </pivotSelection>
    </sheetView>
  </sheetViews>
  <sheetFormatPr defaultRowHeight="15" x14ac:dyDescent="0.25"/>
  <cols>
    <col min="1" max="1" width="8.625" customWidth="1"/>
    <col min="2" max="2" width="15.75" customWidth="1"/>
    <col min="3" max="3" width="21.25" bestFit="1" customWidth="1"/>
    <col min="4" max="4" width="13.5" customWidth="1"/>
    <col min="5" max="5" width="17.25" customWidth="1"/>
    <col min="6" max="6" width="21" bestFit="1" customWidth="1"/>
    <col min="7" max="7" width="16.25" bestFit="1" customWidth="1"/>
    <col min="8" max="8" width="18.125" bestFit="1" customWidth="1"/>
    <col min="9" max="9" width="24.25" bestFit="1" customWidth="1"/>
    <col min="10" max="10" width="20.25" bestFit="1" customWidth="1"/>
    <col min="11" max="11" width="24.25" bestFit="1" customWidth="1"/>
    <col min="12" max="12" width="13.25" bestFit="1" customWidth="1"/>
    <col min="14" max="14" width="17.625" customWidth="1"/>
    <col min="15" max="15" width="21" bestFit="1" customWidth="1"/>
    <col min="17" max="17" width="15.875" bestFit="1" customWidth="1"/>
    <col min="18" max="18" width="21" bestFit="1" customWidth="1"/>
    <col min="20" max="20" width="21.875" customWidth="1"/>
    <col min="21" max="21" width="14.625" customWidth="1"/>
    <col min="23" max="23" width="19.75" bestFit="1" customWidth="1"/>
    <col min="24" max="24" width="21" bestFit="1" customWidth="1"/>
    <col min="26" max="26" width="20.125" bestFit="1" customWidth="1"/>
    <col min="27" max="27" width="11.875" customWidth="1"/>
    <col min="29" max="29" width="19.875" bestFit="1" customWidth="1"/>
    <col min="30" max="30" width="22.875" bestFit="1" customWidth="1"/>
  </cols>
  <sheetData>
    <row r="4" spans="2:29" x14ac:dyDescent="0.25">
      <c r="B4" t="s">
        <v>1083</v>
      </c>
      <c r="C4" t="s">
        <v>1049</v>
      </c>
      <c r="D4" t="s">
        <v>1084</v>
      </c>
      <c r="E4" t="s">
        <v>1052</v>
      </c>
      <c r="F4" t="s">
        <v>1040</v>
      </c>
      <c r="G4" t="s">
        <v>1041</v>
      </c>
      <c r="H4" t="s">
        <v>1086</v>
      </c>
      <c r="I4" t="s">
        <v>1043</v>
      </c>
      <c r="J4" t="s">
        <v>1044</v>
      </c>
      <c r="K4" t="s">
        <v>1045</v>
      </c>
    </row>
    <row r="5" spans="2:29" x14ac:dyDescent="0.25">
      <c r="B5" s="21">
        <v>1000</v>
      </c>
      <c r="C5" s="25">
        <v>3.8854000000000033</v>
      </c>
      <c r="D5" s="21">
        <v>89850</v>
      </c>
      <c r="E5" s="21">
        <v>89.85</v>
      </c>
      <c r="F5" s="21">
        <v>176</v>
      </c>
      <c r="G5" s="21">
        <v>2</v>
      </c>
      <c r="H5" s="21">
        <v>96623</v>
      </c>
      <c r="I5" s="21">
        <v>96.623000000000005</v>
      </c>
      <c r="J5" s="21">
        <v>225</v>
      </c>
      <c r="K5" s="21">
        <v>20</v>
      </c>
    </row>
    <row r="6" spans="2:29" x14ac:dyDescent="0.25">
      <c r="B6" s="21"/>
      <c r="E6" s="25"/>
      <c r="H6" s="21"/>
      <c r="K6" s="21"/>
      <c r="N6" s="21"/>
      <c r="Q6" s="21"/>
      <c r="T6" s="21"/>
      <c r="W6" s="21"/>
      <c r="Z6" s="21"/>
      <c r="AC6" s="21"/>
    </row>
    <row r="7" spans="2:29" x14ac:dyDescent="0.25">
      <c r="B7" s="21"/>
      <c r="E7" s="25"/>
      <c r="H7" s="21"/>
      <c r="K7" s="21"/>
      <c r="N7" s="21"/>
      <c r="Q7" s="21"/>
      <c r="T7" s="21"/>
      <c r="W7" s="21"/>
      <c r="Z7" s="21"/>
      <c r="AC7" s="21"/>
    </row>
    <row r="8" spans="2:29" ht="15.75" x14ac:dyDescent="0.25">
      <c r="B8" s="26" t="s">
        <v>1093</v>
      </c>
      <c r="C8" s="26"/>
      <c r="D8" s="26"/>
      <c r="F8" s="26" t="s">
        <v>1087</v>
      </c>
      <c r="G8" s="26"/>
      <c r="I8" s="26" t="s">
        <v>1088</v>
      </c>
      <c r="J8" s="26"/>
      <c r="N8" s="21"/>
      <c r="Q8" s="21"/>
      <c r="T8" s="21"/>
      <c r="W8" s="21"/>
      <c r="Z8" s="21"/>
      <c r="AC8" s="21"/>
    </row>
    <row r="9" spans="2:29" x14ac:dyDescent="0.25">
      <c r="B9" s="22" t="s">
        <v>1067</v>
      </c>
      <c r="C9" t="s">
        <v>1042</v>
      </c>
      <c r="D9" t="s">
        <v>1039</v>
      </c>
      <c r="F9" s="22" t="s">
        <v>1048</v>
      </c>
      <c r="G9" t="s">
        <v>1042</v>
      </c>
      <c r="I9" s="22" t="s">
        <v>996</v>
      </c>
      <c r="J9" t="s">
        <v>1042</v>
      </c>
      <c r="N9" s="21"/>
      <c r="Q9" s="21"/>
      <c r="T9" s="21"/>
      <c r="W9" s="21"/>
      <c r="Z9" s="21"/>
      <c r="AC9" s="21"/>
    </row>
    <row r="10" spans="2:29" x14ac:dyDescent="0.25">
      <c r="B10" s="23" t="s">
        <v>1055</v>
      </c>
      <c r="C10" s="21">
        <v>7790</v>
      </c>
      <c r="D10" s="21">
        <v>79</v>
      </c>
      <c r="F10" s="23" t="s">
        <v>22</v>
      </c>
      <c r="G10" s="21">
        <v>7747</v>
      </c>
      <c r="I10" s="23" t="s">
        <v>1001</v>
      </c>
      <c r="J10" s="1">
        <v>0.269718390031359</v>
      </c>
      <c r="N10" s="21"/>
      <c r="Q10" s="21"/>
      <c r="T10" s="21"/>
      <c r="W10" s="21"/>
      <c r="Z10" s="21"/>
      <c r="AC10" s="21"/>
    </row>
    <row r="11" spans="2:29" x14ac:dyDescent="0.25">
      <c r="B11" s="23" t="s">
        <v>1056</v>
      </c>
      <c r="C11" s="21">
        <v>6122</v>
      </c>
      <c r="D11" s="21">
        <v>66</v>
      </c>
      <c r="F11" s="23" t="s">
        <v>11</v>
      </c>
      <c r="G11" s="21">
        <v>7689</v>
      </c>
      <c r="I11" s="23" t="s">
        <v>1000</v>
      </c>
      <c r="J11" s="1">
        <v>0.39171832793434275</v>
      </c>
      <c r="N11" s="21"/>
      <c r="Q11" s="21"/>
      <c r="T11" s="21"/>
      <c r="W11" s="21"/>
      <c r="Z11" s="21"/>
      <c r="AC11" s="21"/>
    </row>
    <row r="12" spans="2:29" x14ac:dyDescent="0.25">
      <c r="B12" s="23" t="s">
        <v>1057</v>
      </c>
      <c r="C12" s="21">
        <v>14563</v>
      </c>
      <c r="D12" s="21">
        <v>155</v>
      </c>
      <c r="F12" s="23" t="s">
        <v>13</v>
      </c>
      <c r="G12" s="21">
        <v>7230</v>
      </c>
      <c r="I12" s="23" t="s">
        <v>999</v>
      </c>
      <c r="J12" s="1">
        <v>0.33856328203429825</v>
      </c>
      <c r="N12" s="21"/>
      <c r="Q12" s="21"/>
      <c r="T12" s="21"/>
      <c r="W12" s="21"/>
      <c r="Z12" s="21"/>
      <c r="AC12" s="21"/>
    </row>
    <row r="13" spans="2:29" x14ac:dyDescent="0.25">
      <c r="B13" s="23" t="s">
        <v>1058</v>
      </c>
      <c r="C13" s="21">
        <v>13536</v>
      </c>
      <c r="D13" s="21">
        <v>136</v>
      </c>
      <c r="F13" s="23" t="s">
        <v>14</v>
      </c>
      <c r="G13" s="21">
        <v>7216</v>
      </c>
      <c r="I13" s="23" t="s">
        <v>1046</v>
      </c>
      <c r="J13" s="1">
        <v>1</v>
      </c>
      <c r="N13" s="21"/>
      <c r="Q13" s="21"/>
      <c r="T13" s="21"/>
      <c r="W13" s="21"/>
      <c r="Z13" s="21"/>
      <c r="AC13" s="21"/>
    </row>
    <row r="14" spans="2:29" x14ac:dyDescent="0.25">
      <c r="B14" s="23" t="s">
        <v>1059</v>
      </c>
      <c r="C14" s="21">
        <v>8171</v>
      </c>
      <c r="D14" s="21">
        <v>83</v>
      </c>
      <c r="F14" s="23" t="s">
        <v>15</v>
      </c>
      <c r="G14" s="21">
        <v>6819</v>
      </c>
      <c r="N14" s="21"/>
      <c r="Q14" s="21"/>
      <c r="T14" s="21"/>
      <c r="W14" s="21"/>
      <c r="Z14" s="21"/>
      <c r="AC14" s="21"/>
    </row>
    <row r="15" spans="2:29" x14ac:dyDescent="0.25">
      <c r="B15" s="23" t="s">
        <v>1060</v>
      </c>
      <c r="C15" s="21">
        <v>5893</v>
      </c>
      <c r="D15" s="21">
        <v>67</v>
      </c>
      <c r="F15" s="23" t="s">
        <v>16</v>
      </c>
      <c r="G15" s="21">
        <v>6785</v>
      </c>
      <c r="N15" s="21"/>
      <c r="Q15" s="21"/>
      <c r="T15" s="21"/>
      <c r="W15" s="21"/>
      <c r="Z15" s="21"/>
      <c r="AC15" s="21"/>
    </row>
    <row r="16" spans="2:29" x14ac:dyDescent="0.25">
      <c r="B16" s="23" t="s">
        <v>1061</v>
      </c>
      <c r="C16" s="21">
        <v>6007</v>
      </c>
      <c r="D16" s="21">
        <v>64</v>
      </c>
      <c r="F16" s="23" t="s">
        <v>7</v>
      </c>
      <c r="G16" s="21">
        <v>6749</v>
      </c>
      <c r="N16" s="21"/>
      <c r="Q16" s="21"/>
      <c r="T16" s="21"/>
      <c r="W16" s="21"/>
      <c r="Z16" s="21"/>
      <c r="AC16" s="21"/>
    </row>
    <row r="17" spans="2:29" x14ac:dyDescent="0.25">
      <c r="B17" s="23" t="s">
        <v>1062</v>
      </c>
      <c r="C17" s="21">
        <v>4950</v>
      </c>
      <c r="D17" s="21">
        <v>50</v>
      </c>
      <c r="F17" s="23" t="s">
        <v>21</v>
      </c>
      <c r="G17" s="21">
        <v>6601</v>
      </c>
      <c r="N17" s="21"/>
      <c r="Q17" s="21"/>
      <c r="T17" s="21"/>
      <c r="W17" s="21"/>
      <c r="Z17" s="21"/>
      <c r="AC17" s="21"/>
    </row>
    <row r="18" spans="2:29" x14ac:dyDescent="0.25">
      <c r="B18" s="23" t="s">
        <v>1063</v>
      </c>
      <c r="C18" s="21">
        <v>6689</v>
      </c>
      <c r="D18" s="21">
        <v>76</v>
      </c>
      <c r="F18" s="23" t="s">
        <v>18</v>
      </c>
      <c r="G18" s="21">
        <v>6518</v>
      </c>
      <c r="N18" s="21"/>
      <c r="Q18" s="21"/>
      <c r="T18" s="21"/>
      <c r="W18" s="21"/>
      <c r="Z18" s="21"/>
      <c r="AC18" s="21"/>
    </row>
    <row r="19" spans="2:29" x14ac:dyDescent="0.25">
      <c r="B19" s="23" t="s">
        <v>1064</v>
      </c>
      <c r="C19" s="21">
        <v>10875</v>
      </c>
      <c r="D19" s="21">
        <v>114</v>
      </c>
      <c r="F19" s="23" t="s">
        <v>17</v>
      </c>
      <c r="G19" s="21">
        <v>6242</v>
      </c>
      <c r="N19" s="21"/>
      <c r="Q19" s="21"/>
      <c r="T19" s="21"/>
      <c r="W19" s="21"/>
      <c r="Z19" s="21"/>
      <c r="AC19" s="21"/>
    </row>
    <row r="20" spans="2:29" x14ac:dyDescent="0.25">
      <c r="B20" s="23" t="s">
        <v>1065</v>
      </c>
      <c r="C20" s="21">
        <v>6775</v>
      </c>
      <c r="D20" s="21">
        <v>57</v>
      </c>
      <c r="F20" s="23" t="s">
        <v>6</v>
      </c>
      <c r="G20" s="21">
        <v>6176</v>
      </c>
      <c r="N20" s="21"/>
      <c r="Q20" s="21"/>
      <c r="T20" s="21"/>
      <c r="W20" s="21"/>
      <c r="Z20" s="21"/>
      <c r="AC20" s="21"/>
    </row>
    <row r="21" spans="2:29" x14ac:dyDescent="0.25">
      <c r="B21" s="23" t="s">
        <v>1066</v>
      </c>
      <c r="C21" s="21">
        <v>5252</v>
      </c>
      <c r="D21" s="21">
        <v>53</v>
      </c>
      <c r="F21" s="23" t="s">
        <v>23</v>
      </c>
      <c r="G21" s="21">
        <v>5634</v>
      </c>
      <c r="N21" s="21"/>
      <c r="Q21" s="21"/>
      <c r="T21" s="21"/>
      <c r="W21" s="21"/>
      <c r="Z21" s="21"/>
      <c r="AC21" s="21"/>
    </row>
    <row r="22" spans="2:29" x14ac:dyDescent="0.25">
      <c r="B22" s="23" t="s">
        <v>1046</v>
      </c>
      <c r="C22" s="21">
        <v>96623</v>
      </c>
      <c r="D22" s="21">
        <v>1000</v>
      </c>
      <c r="F22" s="23" t="s">
        <v>20</v>
      </c>
      <c r="G22" s="21">
        <v>5404</v>
      </c>
      <c r="N22" s="21"/>
      <c r="Q22" s="21"/>
      <c r="T22" s="21"/>
      <c r="W22" s="21"/>
      <c r="Z22" s="21"/>
      <c r="AC22" s="21"/>
    </row>
    <row r="23" spans="2:29" x14ac:dyDescent="0.25">
      <c r="B23" s="21"/>
      <c r="F23" s="23" t="s">
        <v>4</v>
      </c>
      <c r="G23" s="21">
        <v>5009</v>
      </c>
      <c r="N23" s="21"/>
      <c r="Q23" s="21"/>
      <c r="T23" s="21"/>
      <c r="W23" s="21"/>
      <c r="Z23" s="21"/>
      <c r="AC23" s="21"/>
    </row>
    <row r="24" spans="2:29" x14ac:dyDescent="0.25">
      <c r="B24" s="21"/>
      <c r="F24" s="23" t="s">
        <v>19</v>
      </c>
      <c r="G24" s="21">
        <v>4804</v>
      </c>
      <c r="N24" s="21"/>
      <c r="Q24" s="21"/>
      <c r="T24" s="21"/>
      <c r="W24" s="21"/>
      <c r="Z24" s="21"/>
      <c r="AC24" s="21"/>
    </row>
    <row r="25" spans="2:29" x14ac:dyDescent="0.25">
      <c r="B25" s="21"/>
      <c r="F25" s="23" t="s">
        <v>1046</v>
      </c>
      <c r="G25" s="21">
        <v>96623</v>
      </c>
      <c r="N25" s="21"/>
      <c r="Q25" s="21"/>
      <c r="T25" s="21"/>
      <c r="W25" s="21"/>
      <c r="Z25" s="21"/>
      <c r="AC25" s="21"/>
    </row>
    <row r="26" spans="2:29" x14ac:dyDescent="0.25">
      <c r="B26" s="21"/>
      <c r="E26" s="25"/>
      <c r="H26" s="21"/>
      <c r="K26" s="21"/>
      <c r="N26" s="21"/>
      <c r="Q26" s="21"/>
      <c r="T26" s="21"/>
      <c r="W26" s="21"/>
      <c r="Z26" s="21"/>
      <c r="AC26" s="21"/>
    </row>
    <row r="30" spans="2:29" ht="15.75" x14ac:dyDescent="0.25">
      <c r="B30" s="26" t="s">
        <v>1089</v>
      </c>
      <c r="C30" s="26"/>
      <c r="E30" s="26" t="s">
        <v>1090</v>
      </c>
      <c r="F30" s="26"/>
      <c r="H30" s="26" t="s">
        <v>1091</v>
      </c>
      <c r="I30" s="26"/>
      <c r="K30" s="26" t="s">
        <v>1094</v>
      </c>
      <c r="L30" s="26"/>
      <c r="M30" s="26"/>
    </row>
    <row r="31" spans="2:29" x14ac:dyDescent="0.25">
      <c r="B31" s="22" t="s">
        <v>996</v>
      </c>
      <c r="C31" t="s">
        <v>1039</v>
      </c>
      <c r="E31" s="22" t="s">
        <v>1075</v>
      </c>
      <c r="F31" t="s">
        <v>1039</v>
      </c>
      <c r="H31" s="22" t="s">
        <v>1081</v>
      </c>
      <c r="I31" t="s">
        <v>1039</v>
      </c>
      <c r="K31" s="22" t="s">
        <v>2</v>
      </c>
      <c r="L31" t="s">
        <v>1039</v>
      </c>
      <c r="M31" t="s">
        <v>1092</v>
      </c>
    </row>
    <row r="32" spans="2:29" x14ac:dyDescent="0.25">
      <c r="B32" s="23" t="s">
        <v>1057</v>
      </c>
      <c r="C32" s="21">
        <v>155</v>
      </c>
      <c r="E32" s="23" t="s">
        <v>1068</v>
      </c>
      <c r="F32" s="21">
        <v>161</v>
      </c>
      <c r="H32" s="23" t="s">
        <v>1080</v>
      </c>
      <c r="I32" s="21">
        <v>9</v>
      </c>
      <c r="K32" s="23" t="s">
        <v>10</v>
      </c>
      <c r="L32" s="21">
        <v>189</v>
      </c>
      <c r="M32" s="20">
        <v>3.9227513227513247</v>
      </c>
    </row>
    <row r="33" spans="2:13" x14ac:dyDescent="0.25">
      <c r="B33" s="23" t="s">
        <v>1058</v>
      </c>
      <c r="C33" s="21">
        <v>136</v>
      </c>
      <c r="E33" s="23" t="s">
        <v>1072</v>
      </c>
      <c r="F33" s="21">
        <v>153</v>
      </c>
      <c r="H33" s="23" t="s">
        <v>1077</v>
      </c>
      <c r="I33" s="21">
        <v>51</v>
      </c>
      <c r="K33" s="23" t="s">
        <v>8</v>
      </c>
      <c r="L33" s="21">
        <v>218</v>
      </c>
      <c r="M33" s="20">
        <v>3.8706422018348627</v>
      </c>
    </row>
    <row r="34" spans="2:13" x14ac:dyDescent="0.25">
      <c r="B34" s="23" t="s">
        <v>1064</v>
      </c>
      <c r="C34" s="21">
        <v>114</v>
      </c>
      <c r="E34" s="23" t="s">
        <v>1069</v>
      </c>
      <c r="F34" s="21">
        <v>146</v>
      </c>
      <c r="H34" s="23" t="s">
        <v>1078</v>
      </c>
      <c r="I34" s="21">
        <v>179</v>
      </c>
      <c r="K34" s="23" t="s">
        <v>5</v>
      </c>
      <c r="L34" s="21">
        <v>207</v>
      </c>
      <c r="M34" s="20">
        <v>3.8589371980676304</v>
      </c>
    </row>
    <row r="35" spans="2:13" x14ac:dyDescent="0.25">
      <c r="B35" s="23" t="s">
        <v>1059</v>
      </c>
      <c r="C35" s="21">
        <v>83</v>
      </c>
      <c r="E35" s="23" t="s">
        <v>1074</v>
      </c>
      <c r="F35" s="21">
        <v>141</v>
      </c>
      <c r="H35" s="23" t="s">
        <v>1079</v>
      </c>
      <c r="I35" s="21">
        <v>237</v>
      </c>
      <c r="K35" s="23" t="s">
        <v>12</v>
      </c>
      <c r="L35" s="21">
        <v>186</v>
      </c>
      <c r="M35" s="20">
        <v>3.8973118279569863</v>
      </c>
    </row>
    <row r="36" spans="2:13" x14ac:dyDescent="0.25">
      <c r="B36" s="23" t="s">
        <v>1055</v>
      </c>
      <c r="C36" s="21">
        <v>79</v>
      </c>
      <c r="E36" s="23" t="s">
        <v>1071</v>
      </c>
      <c r="F36" s="21">
        <v>138</v>
      </c>
      <c r="H36" s="23" t="s">
        <v>1076</v>
      </c>
      <c r="I36" s="21">
        <v>524</v>
      </c>
      <c r="K36" s="23" t="s">
        <v>9</v>
      </c>
      <c r="L36" s="21">
        <v>200</v>
      </c>
      <c r="M36" s="20">
        <v>3.8824999999999998</v>
      </c>
    </row>
    <row r="37" spans="2:13" x14ac:dyDescent="0.25">
      <c r="B37" s="23" t="s">
        <v>1063</v>
      </c>
      <c r="C37" s="21">
        <v>76</v>
      </c>
      <c r="E37" s="23" t="s">
        <v>1070</v>
      </c>
      <c r="F37" s="21">
        <v>133</v>
      </c>
      <c r="H37" s="23" t="s">
        <v>1046</v>
      </c>
      <c r="I37" s="21">
        <v>1000</v>
      </c>
      <c r="K37" s="23" t="s">
        <v>1046</v>
      </c>
      <c r="L37" s="21">
        <v>1000</v>
      </c>
      <c r="M37" s="20">
        <v>3.8854000000000029</v>
      </c>
    </row>
    <row r="38" spans="2:13" x14ac:dyDescent="0.25">
      <c r="B38" s="23" t="s">
        <v>1060</v>
      </c>
      <c r="C38" s="21">
        <v>67</v>
      </c>
      <c r="E38" s="23" t="s">
        <v>1073</v>
      </c>
      <c r="F38" s="21">
        <v>128</v>
      </c>
    </row>
    <row r="39" spans="2:13" x14ac:dyDescent="0.25">
      <c r="B39" s="23" t="s">
        <v>1056</v>
      </c>
      <c r="C39" s="21">
        <v>66</v>
      </c>
      <c r="E39" s="23" t="s">
        <v>1046</v>
      </c>
      <c r="F39" s="21">
        <v>1000</v>
      </c>
    </row>
    <row r="40" spans="2:13" x14ac:dyDescent="0.25">
      <c r="B40" s="23" t="s">
        <v>1061</v>
      </c>
      <c r="C40" s="21">
        <v>64</v>
      </c>
    </row>
    <row r="41" spans="2:13" x14ac:dyDescent="0.25">
      <c r="B41" s="23" t="s">
        <v>1065</v>
      </c>
      <c r="C41" s="21">
        <v>57</v>
      </c>
    </row>
    <row r="42" spans="2:13" x14ac:dyDescent="0.25">
      <c r="B42" s="23" t="s">
        <v>1066</v>
      </c>
      <c r="C42" s="21">
        <v>53</v>
      </c>
    </row>
    <row r="43" spans="2:13" x14ac:dyDescent="0.25">
      <c r="B43" s="23" t="s">
        <v>1062</v>
      </c>
      <c r="C43" s="21">
        <v>50</v>
      </c>
    </row>
    <row r="44" spans="2:13" x14ac:dyDescent="0.25">
      <c r="B44" s="23" t="s">
        <v>1046</v>
      </c>
      <c r="C44" s="21">
        <v>1000</v>
      </c>
    </row>
    <row r="51" spans="2:12" ht="15.75" x14ac:dyDescent="0.25">
      <c r="B51" s="26" t="s">
        <v>1047</v>
      </c>
      <c r="C51" s="26"/>
      <c r="E51" s="26" t="s">
        <v>1054</v>
      </c>
      <c r="F51" s="26"/>
      <c r="H51" s="26" t="s">
        <v>1051</v>
      </c>
      <c r="I51" s="26"/>
      <c r="K51" s="26" t="s">
        <v>1053</v>
      </c>
      <c r="L51" s="26"/>
    </row>
    <row r="52" spans="2:12" x14ac:dyDescent="0.25">
      <c r="B52" s="22" t="s">
        <v>1048</v>
      </c>
      <c r="C52" t="s">
        <v>1039</v>
      </c>
      <c r="E52" s="22" t="s">
        <v>1048</v>
      </c>
      <c r="F52" t="s">
        <v>1049</v>
      </c>
      <c r="H52" s="22" t="s">
        <v>1048</v>
      </c>
      <c r="I52" t="s">
        <v>1050</v>
      </c>
      <c r="K52" s="22" t="s">
        <v>1048</v>
      </c>
      <c r="L52" t="s">
        <v>1052</v>
      </c>
    </row>
    <row r="53" spans="2:12" x14ac:dyDescent="0.25">
      <c r="B53" s="23" t="s">
        <v>11</v>
      </c>
      <c r="C53" s="21">
        <v>82</v>
      </c>
      <c r="E53" s="23" t="s">
        <v>23</v>
      </c>
      <c r="F53" s="20">
        <v>4.1904761904761907</v>
      </c>
      <c r="H53" s="23" t="s">
        <v>11</v>
      </c>
      <c r="I53" s="21">
        <v>7379</v>
      </c>
      <c r="K53" s="23" t="s">
        <v>20</v>
      </c>
      <c r="L53" s="21">
        <v>99.966666666666669</v>
      </c>
    </row>
    <row r="54" spans="2:12" x14ac:dyDescent="0.25">
      <c r="B54" s="23" t="s">
        <v>22</v>
      </c>
      <c r="C54" s="21">
        <v>79</v>
      </c>
      <c r="E54" s="23" t="s">
        <v>15</v>
      </c>
      <c r="F54" s="20">
        <v>4.1857142857142859</v>
      </c>
      <c r="H54" s="23" t="s">
        <v>17</v>
      </c>
      <c r="I54" s="21">
        <v>6971</v>
      </c>
      <c r="K54" s="23" t="s">
        <v>17</v>
      </c>
      <c r="L54" s="21">
        <v>96.819444444444443</v>
      </c>
    </row>
    <row r="55" spans="2:12" x14ac:dyDescent="0.25">
      <c r="B55" s="23" t="s">
        <v>7</v>
      </c>
      <c r="C55" s="21">
        <v>74</v>
      </c>
      <c r="E55" s="23" t="s">
        <v>19</v>
      </c>
      <c r="F55" s="20">
        <v>4.1399999999999997</v>
      </c>
      <c r="H55" s="23" t="s">
        <v>22</v>
      </c>
      <c r="I55" s="21">
        <v>6563</v>
      </c>
      <c r="K55" s="23" t="s">
        <v>19</v>
      </c>
      <c r="L55" s="21">
        <v>94.24</v>
      </c>
    </row>
    <row r="56" spans="2:12" x14ac:dyDescent="0.25">
      <c r="B56" s="23" t="s">
        <v>17</v>
      </c>
      <c r="C56" s="21">
        <v>72</v>
      </c>
      <c r="E56" s="23" t="s">
        <v>7</v>
      </c>
      <c r="F56" s="20">
        <v>4.0675675675675675</v>
      </c>
      <c r="H56" s="23" t="s">
        <v>15</v>
      </c>
      <c r="I56" s="21">
        <v>6354</v>
      </c>
      <c r="K56" s="23" t="s">
        <v>16</v>
      </c>
      <c r="L56" s="21">
        <v>92.907692307692301</v>
      </c>
    </row>
    <row r="57" spans="2:12" x14ac:dyDescent="0.25">
      <c r="B57" s="23" t="s">
        <v>15</v>
      </c>
      <c r="C57" s="21">
        <v>70</v>
      </c>
      <c r="E57" s="23" t="s">
        <v>11</v>
      </c>
      <c r="F57" s="20">
        <v>4.0365853658536581</v>
      </c>
      <c r="H57" s="23" t="s">
        <v>7</v>
      </c>
      <c r="I57" s="21">
        <v>6119</v>
      </c>
      <c r="K57" s="23" t="s">
        <v>4</v>
      </c>
      <c r="L57" s="21">
        <v>91.627118644067792</v>
      </c>
    </row>
    <row r="58" spans="2:12" x14ac:dyDescent="0.25">
      <c r="B58" s="23" t="s">
        <v>21</v>
      </c>
      <c r="C58" s="21">
        <v>69</v>
      </c>
      <c r="E58" s="23" t="s">
        <v>22</v>
      </c>
      <c r="F58" s="20">
        <v>4.0253164556962027</v>
      </c>
      <c r="H58" s="23" t="s">
        <v>13</v>
      </c>
      <c r="I58" s="21">
        <v>6058</v>
      </c>
      <c r="K58" s="23" t="s">
        <v>6</v>
      </c>
      <c r="L58" s="21">
        <v>91.145161290322577</v>
      </c>
    </row>
    <row r="59" spans="2:12" x14ac:dyDescent="0.25">
      <c r="B59" s="23" t="s">
        <v>13</v>
      </c>
      <c r="C59" s="21">
        <v>69</v>
      </c>
      <c r="E59" s="23" t="s">
        <v>4</v>
      </c>
      <c r="F59" s="20">
        <v>4.0169491525423728</v>
      </c>
      <c r="H59" s="23" t="s">
        <v>16</v>
      </c>
      <c r="I59" s="21">
        <v>6039</v>
      </c>
      <c r="K59" s="23" t="s">
        <v>15</v>
      </c>
      <c r="L59" s="21">
        <v>90.771428571428572</v>
      </c>
    </row>
    <row r="60" spans="2:12" x14ac:dyDescent="0.25">
      <c r="B60" s="23" t="s">
        <v>14</v>
      </c>
      <c r="C60" s="21">
        <v>67</v>
      </c>
      <c r="E60" s="23" t="s">
        <v>17</v>
      </c>
      <c r="F60" s="20">
        <v>3.9444444444444446</v>
      </c>
      <c r="H60" s="23" t="s">
        <v>20</v>
      </c>
      <c r="I60" s="21">
        <v>5998</v>
      </c>
      <c r="K60" s="23" t="s">
        <v>11</v>
      </c>
      <c r="L60" s="21">
        <v>89.987804878048777</v>
      </c>
    </row>
    <row r="61" spans="2:12" x14ac:dyDescent="0.25">
      <c r="B61" s="23" t="s">
        <v>16</v>
      </c>
      <c r="C61" s="21">
        <v>65</v>
      </c>
      <c r="E61" s="23" t="s">
        <v>14</v>
      </c>
      <c r="F61" s="20">
        <v>3.9253731343283582</v>
      </c>
      <c r="H61" s="23" t="s">
        <v>21</v>
      </c>
      <c r="I61" s="21">
        <v>5918</v>
      </c>
      <c r="K61" s="23" t="s">
        <v>18</v>
      </c>
      <c r="L61" s="21">
        <v>89.644067796610173</v>
      </c>
    </row>
    <row r="62" spans="2:12" x14ac:dyDescent="0.25">
      <c r="B62" s="23" t="s">
        <v>23</v>
      </c>
      <c r="C62" s="21">
        <v>63</v>
      </c>
      <c r="E62" s="23" t="s">
        <v>18</v>
      </c>
      <c r="F62" s="20">
        <v>3.9152542372881354</v>
      </c>
      <c r="H62" s="23" t="s">
        <v>14</v>
      </c>
      <c r="I62" s="21">
        <v>5897</v>
      </c>
      <c r="K62" s="23" t="s">
        <v>14</v>
      </c>
      <c r="L62" s="21">
        <v>88.014925373134332</v>
      </c>
    </row>
    <row r="63" spans="2:12" x14ac:dyDescent="0.25">
      <c r="B63" s="23" t="s">
        <v>6</v>
      </c>
      <c r="C63" s="21">
        <v>62</v>
      </c>
      <c r="E63" s="23" t="s">
        <v>16</v>
      </c>
      <c r="F63" s="20">
        <v>3.8923076923076922</v>
      </c>
      <c r="H63" s="23" t="s">
        <v>6</v>
      </c>
      <c r="I63" s="21">
        <v>5651</v>
      </c>
      <c r="K63" s="23" t="s">
        <v>13</v>
      </c>
      <c r="L63" s="21">
        <v>87.79710144927536</v>
      </c>
    </row>
    <row r="64" spans="2:12" x14ac:dyDescent="0.25">
      <c r="B64" s="23" t="s">
        <v>20</v>
      </c>
      <c r="C64" s="21">
        <v>60</v>
      </c>
      <c r="E64" s="23" t="s">
        <v>6</v>
      </c>
      <c r="F64" s="20">
        <v>3.8548387096774195</v>
      </c>
      <c r="H64" s="23" t="s">
        <v>23</v>
      </c>
      <c r="I64" s="21">
        <v>5496</v>
      </c>
      <c r="K64" s="23" t="s">
        <v>23</v>
      </c>
      <c r="L64" s="21">
        <v>87.238095238095241</v>
      </c>
    </row>
    <row r="65" spans="2:12" x14ac:dyDescent="0.25">
      <c r="B65" s="23" t="s">
        <v>18</v>
      </c>
      <c r="C65" s="21">
        <v>59</v>
      </c>
      <c r="E65" s="23" t="s">
        <v>13</v>
      </c>
      <c r="F65" s="20">
        <v>3.8260869565217392</v>
      </c>
      <c r="H65" s="23" t="s">
        <v>4</v>
      </c>
      <c r="I65" s="21">
        <v>5406</v>
      </c>
      <c r="K65" s="23" t="s">
        <v>21</v>
      </c>
      <c r="L65" s="21">
        <v>85.768115942028984</v>
      </c>
    </row>
    <row r="66" spans="2:12" x14ac:dyDescent="0.25">
      <c r="B66" s="23" t="s">
        <v>4</v>
      </c>
      <c r="C66" s="21">
        <v>59</v>
      </c>
      <c r="E66" s="23" t="s">
        <v>20</v>
      </c>
      <c r="F66" s="20">
        <v>3.7333333333333334</v>
      </c>
      <c r="H66" s="23" t="s">
        <v>18</v>
      </c>
      <c r="I66" s="21">
        <v>5289</v>
      </c>
      <c r="K66" s="23" t="s">
        <v>22</v>
      </c>
      <c r="L66" s="21">
        <v>83.075949367088612</v>
      </c>
    </row>
    <row r="67" spans="2:12" x14ac:dyDescent="0.25">
      <c r="B67" s="23" t="s">
        <v>19</v>
      </c>
      <c r="C67" s="21">
        <v>50</v>
      </c>
      <c r="E67" s="23" t="s">
        <v>21</v>
      </c>
      <c r="F67" s="20">
        <v>3.6956521739130435</v>
      </c>
      <c r="H67" s="23" t="s">
        <v>19</v>
      </c>
      <c r="I67" s="21">
        <v>4712</v>
      </c>
      <c r="K67" s="23" t="s">
        <v>7</v>
      </c>
      <c r="L67" s="21">
        <v>82.689189189189193</v>
      </c>
    </row>
    <row r="68" spans="2:12" x14ac:dyDescent="0.25">
      <c r="B68" s="23" t="s">
        <v>1046</v>
      </c>
      <c r="C68" s="21">
        <v>1000</v>
      </c>
      <c r="E68" s="23" t="s">
        <v>1046</v>
      </c>
      <c r="F68" s="20">
        <v>3.964</v>
      </c>
      <c r="H68" s="23" t="s">
        <v>1046</v>
      </c>
      <c r="I68" s="21">
        <v>89850</v>
      </c>
      <c r="K68" s="23" t="s">
        <v>1046</v>
      </c>
      <c r="L68" s="21">
        <v>89.85</v>
      </c>
    </row>
  </sheetData>
  <mergeCells count="11">
    <mergeCell ref="B30:C30"/>
    <mergeCell ref="E30:F30"/>
    <mergeCell ref="H30:I30"/>
    <mergeCell ref="B51:C51"/>
    <mergeCell ref="E51:F51"/>
    <mergeCell ref="H51:I51"/>
    <mergeCell ref="K51:L51"/>
    <mergeCell ref="F8:G8"/>
    <mergeCell ref="K30:M30"/>
    <mergeCell ref="B8:D8"/>
    <mergeCell ref="I8:J8"/>
  </mergeCells>
  <conditionalFormatting sqref="E32:E38">
    <cfRule type="dataBar" priority="10">
      <dataBar>
        <cfvo type="min"/>
        <cfvo type="max"/>
        <color rgb="FFFFB628"/>
      </dataBar>
      <extLst>
        <ext xmlns:x14="http://schemas.microsoft.com/office/spreadsheetml/2009/9/main" uri="{B025F937-C7B1-47D3-B67F-A62EFF666E3E}">
          <x14:id>{AC06004A-D6C2-40EA-A3E0-686232552FFB}</x14:id>
        </ext>
      </extLst>
    </cfRule>
  </conditionalFormatting>
  <conditionalFormatting pivot="1" sqref="I32:I36">
    <cfRule type="top10" dxfId="529" priority="9" rank="3"/>
  </conditionalFormatting>
  <conditionalFormatting sqref="B32:B43">
    <cfRule type="dataBar" priority="8">
      <dataBar>
        <cfvo type="min"/>
        <cfvo type="max"/>
        <color rgb="FFFFB628"/>
      </dataBar>
      <extLst>
        <ext xmlns:x14="http://schemas.microsoft.com/office/spreadsheetml/2009/9/main" uri="{B025F937-C7B1-47D3-B67F-A62EFF666E3E}">
          <x14:id>{138ED624-D88E-4661-AA3F-CB4509D20797}</x14:id>
        </ext>
      </extLst>
    </cfRule>
  </conditionalFormatting>
  <conditionalFormatting sqref="B10:B21">
    <cfRule type="dataBar" priority="7">
      <dataBar>
        <cfvo type="min"/>
        <cfvo type="max"/>
        <color rgb="FF63C384"/>
      </dataBar>
      <extLst>
        <ext xmlns:x14="http://schemas.microsoft.com/office/spreadsheetml/2009/9/main" uri="{B025F937-C7B1-47D3-B67F-A62EFF666E3E}">
          <x14:id>{9CC98183-CAE1-4B3A-933D-3BD3483A04F2}</x14:id>
        </ext>
      </extLst>
    </cfRule>
  </conditionalFormatting>
  <conditionalFormatting sqref="I10:I12">
    <cfRule type="top10" dxfId="528" priority="6" percent="1" rank="1"/>
  </conditionalFormatting>
  <conditionalFormatting sqref="F10:G24">
    <cfRule type="colorScale" priority="5">
      <colorScale>
        <cfvo type="min"/>
        <cfvo type="percentile" val="50"/>
        <cfvo type="max"/>
        <color rgb="FFF8696B"/>
        <color rgb="FFFFEB84"/>
        <color rgb="FF63BE7B"/>
      </colorScale>
    </cfRule>
  </conditionalFormatting>
  <conditionalFormatting pivot="1" sqref="C53:C67">
    <cfRule type="dataBar" priority="4">
      <dataBar>
        <cfvo type="min"/>
        <cfvo type="max"/>
        <color rgb="FFFFB628"/>
      </dataBar>
      <extLst>
        <ext xmlns:x14="http://schemas.microsoft.com/office/spreadsheetml/2009/9/main" uri="{B025F937-C7B1-47D3-B67F-A62EFF666E3E}">
          <x14:id>{19FFC2C5-5CBC-4BFA-BCB9-75D546854B4D}</x14:id>
        </ext>
      </extLst>
    </cfRule>
  </conditionalFormatting>
  <conditionalFormatting pivot="1" sqref="I53:I67">
    <cfRule type="dataBar" priority="2">
      <dataBar>
        <cfvo type="min"/>
        <cfvo type="max"/>
        <color rgb="FFFFB628"/>
      </dataBar>
      <extLst>
        <ext xmlns:x14="http://schemas.microsoft.com/office/spreadsheetml/2009/9/main" uri="{B025F937-C7B1-47D3-B67F-A62EFF666E3E}">
          <x14:id>{BDA43B7C-C414-4604-8E5E-43324077E3D2}</x14:id>
        </ext>
      </extLst>
    </cfRule>
  </conditionalFormatting>
  <conditionalFormatting sqref="K38:L38 K33:K37">
    <cfRule type="dataBar" priority="1">
      <dataBar>
        <cfvo type="min"/>
        <cfvo type="max"/>
        <color rgb="FFFFB628"/>
      </dataBar>
      <extLst>
        <ext xmlns:x14="http://schemas.microsoft.com/office/spreadsheetml/2009/9/main" uri="{B025F937-C7B1-47D3-B67F-A62EFF666E3E}">
          <x14:id>{F89884CE-132F-4A65-95B6-EE4B2D74A66A}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C06004A-D6C2-40EA-A3E0-686232552FFB}">
            <x14:dataBar minLength="0" maxLength="100" gradient="0">
              <x14:cfvo type="autoMin"/>
              <x14:cfvo type="autoMax"/>
              <x14:negativeFillColor rgb="FFFF0000"/>
              <x14:axisColor rgb="FF000000"/>
            </x14:dataBar>
          </x14:cfRule>
          <xm:sqref>E32:E38</xm:sqref>
        </x14:conditionalFormatting>
        <x14:conditionalFormatting xmlns:xm="http://schemas.microsoft.com/office/excel/2006/main">
          <x14:cfRule type="dataBar" id="{138ED624-D88E-4661-AA3F-CB4509D20797}">
            <x14:dataBar minLength="0" maxLength="100" gradient="0">
              <x14:cfvo type="autoMin"/>
              <x14:cfvo type="autoMax"/>
              <x14:negativeFillColor rgb="FFFF0000"/>
              <x14:axisColor rgb="FF000000"/>
            </x14:dataBar>
          </x14:cfRule>
          <xm:sqref>B32:B43</xm:sqref>
        </x14:conditionalFormatting>
        <x14:conditionalFormatting xmlns:xm="http://schemas.microsoft.com/office/excel/2006/main">
          <x14:cfRule type="dataBar" id="{9CC98183-CAE1-4B3A-933D-3BD3483A04F2}">
            <x14:dataBar minLength="0" maxLength="100" border="1" negativeBarBorderColorSameAsPositive="0">
              <x14:cfvo type="autoMin"/>
              <x14:cfvo type="autoMax"/>
              <x14:borderColor rgb="FF63C384"/>
              <x14:negativeFillColor rgb="FFFF0000"/>
              <x14:negativeBorderColor rgb="FFFF0000"/>
              <x14:axisColor rgb="FF000000"/>
            </x14:dataBar>
          </x14:cfRule>
          <xm:sqref>B10:B21</xm:sqref>
        </x14:conditionalFormatting>
        <x14:conditionalFormatting xmlns:xm="http://schemas.microsoft.com/office/excel/2006/main" pivot="1">
          <x14:cfRule type="dataBar" id="{19FFC2C5-5CBC-4BFA-BCB9-75D546854B4D}">
            <x14:dataBar minLength="0" maxLength="100" border="1" negativeBarBorderColorSameAsPositive="0">
              <x14:cfvo type="autoMin"/>
              <x14:cfvo type="autoMax"/>
              <x14:borderColor rgb="FFFFB628"/>
              <x14:negativeFillColor rgb="FFFF0000"/>
              <x14:negativeBorderColor rgb="FFFF0000"/>
              <x14:axisColor rgb="FF000000"/>
            </x14:dataBar>
          </x14:cfRule>
          <xm:sqref>C53:C67</xm:sqref>
        </x14:conditionalFormatting>
        <x14:conditionalFormatting xmlns:xm="http://schemas.microsoft.com/office/excel/2006/main" pivot="1">
          <x14:cfRule type="dataBar" id="{BDA43B7C-C414-4604-8E5E-43324077E3D2}">
            <x14:dataBar minLength="0" maxLength="100" gradient="0">
              <x14:cfvo type="autoMin"/>
              <x14:cfvo type="autoMax"/>
              <x14:negativeFillColor rgb="FFFF0000"/>
              <x14:axisColor rgb="FF000000"/>
            </x14:dataBar>
          </x14:cfRule>
          <xm:sqref>I53:I67</xm:sqref>
        </x14:conditionalFormatting>
        <x14:conditionalFormatting xmlns:xm="http://schemas.microsoft.com/office/excel/2006/main">
          <x14:cfRule type="iconSet" priority="3" id="{111A7A7A-19AB-492A-9CD7-C8F2909F1F81}">
            <x14:iconSet iconSet="3Stars">
              <x14:cfvo type="percent">
                <xm:f>0</xm:f>
              </x14:cfvo>
              <x14:cfvo type="percent">
                <xm:f>33</xm:f>
              </x14:cfvo>
              <x14:cfvo type="percent">
                <xm:f>67</xm:f>
              </x14:cfvo>
            </x14:iconSet>
          </x14:cfRule>
          <xm:sqref>E53:F67</xm:sqref>
        </x14:conditionalFormatting>
        <x14:conditionalFormatting xmlns:xm="http://schemas.microsoft.com/office/excel/2006/main">
          <x14:cfRule type="dataBar" id="{F89884CE-132F-4A65-95B6-EE4B2D74A66A}">
            <x14:dataBar minLength="0" maxLength="100" gradient="0">
              <x14:cfvo type="autoMin"/>
              <x14:cfvo type="autoMax"/>
              <x14:negativeFillColor rgb="FFFF0000"/>
              <x14:axisColor rgb="FF000000"/>
            </x14:dataBar>
          </x14:cfRule>
          <xm:sqref>K38:L38 K33:K37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F0537-8B19-473E-B179-7C7410CC23A7}">
  <dimension ref="A1"/>
  <sheetViews>
    <sheetView showGridLines="0" tabSelected="1" workbookViewId="0">
      <selection activeCell="U3" sqref="U3"/>
    </sheetView>
  </sheetViews>
  <sheetFormatPr defaultRowHeight="15" x14ac:dyDescent="0.25"/>
  <cols>
    <col min="1" max="16384" width="9" style="2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UTD</dc:creator>
  <cp:lastModifiedBy>admin</cp:lastModifiedBy>
  <dcterms:created xsi:type="dcterms:W3CDTF">2021-03-14T20:21:32Z</dcterms:created>
  <dcterms:modified xsi:type="dcterms:W3CDTF">2025-12-10T09:25:40Z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2025-11-11T02:40:27Z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96f51d6d-2893-4910-829c-60f62a858eaf</vt:lpwstr>
  </property>
  <property fmtid="{D5CDD505-2E9C-101B-9397-08002B2CF9AE}" pid="7" name="MSIP_Label_defa4170-0d19-0005-0004-bc88714345d2_ActionId">
    <vt:lpwstr>9f00fdf4-1fc1-45b3-b940-4cd09b5a9ea7</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